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so\OneDrive\Área de Trabalho\SitesProjetos\010_GestaoImportacao\não commitar\Mauricio\"/>
    </mc:Choice>
  </mc:AlternateContent>
  <xr:revisionPtr revIDLastSave="0" documentId="13_ncr:1_{4EF34523-5927-4E14-AA0C-F93F08572E49}" xr6:coauthVersionLast="47" xr6:coauthVersionMax="47" xr10:uidLastSave="{00000000-0000-0000-0000-000000000000}"/>
  <bookViews>
    <workbookView xWindow="-108" yWindow="-108" windowWidth="23256" windowHeight="12456" xr2:uid="{824332FB-1E47-4475-AE0E-633CA79FE7B3}"/>
  </bookViews>
  <sheets>
    <sheet name="Controle" sheetId="1" r:id="rId1"/>
    <sheet name="Planilha1" sheetId="2" r:id="rId2"/>
  </sheets>
  <definedNames>
    <definedName name="_xlnm._FilterDatabase" localSheetId="0" hidden="1">Controle!$A$1:$AS$65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" i="1" l="1"/>
  <c r="AJ40" i="1"/>
  <c r="AM39" i="1"/>
  <c r="AM3" i="1"/>
  <c r="AM4" i="1"/>
  <c r="AM5" i="1"/>
  <c r="AM6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2" i="1"/>
  <c r="AJ64" i="1"/>
  <c r="AJ52" i="1"/>
  <c r="AJ30" i="1"/>
  <c r="AJ15" i="1"/>
  <c r="AJ14" i="1"/>
  <c r="AJ13" i="1"/>
  <c r="AJ12" i="1"/>
  <c r="AJ6" i="1"/>
  <c r="A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Camargo de Barros</author>
    <author>tc={8D35B880-53D0-412A-BD8A-60A69CC63C38}</author>
  </authors>
  <commentList>
    <comment ref="F1" authorId="0" shapeId="0" xr:uid="{7ADF7F9F-E50B-4D4A-B22D-DB10B37B11C2}">
      <text>
        <r>
          <rPr>
            <b/>
            <sz val="9"/>
            <color indexed="81"/>
            <rFont val="Segoe UI"/>
            <family val="2"/>
          </rPr>
          <t>Felipe Camargo de Barros:</t>
        </r>
        <r>
          <rPr>
            <sz val="9"/>
            <color indexed="81"/>
            <rFont val="Segoe UI"/>
            <family val="2"/>
          </rPr>
          <t xml:space="preserve">
Corresponde a 30% do Valor Real</t>
        </r>
      </text>
    </comment>
    <comment ref="H1" authorId="0" shapeId="0" xr:uid="{0589EA46-06FA-4462-B403-9163A2B37193}">
      <text>
        <r>
          <rPr>
            <b/>
            <sz val="9"/>
            <color indexed="81"/>
            <rFont val="Segoe UI"/>
            <family val="2"/>
          </rPr>
          <t>Felipe Camargo de Barros:</t>
        </r>
        <r>
          <rPr>
            <sz val="9"/>
            <color indexed="81"/>
            <rFont val="Segoe UI"/>
            <family val="2"/>
          </rPr>
          <t xml:space="preserve">
Corresponde a 30% do Valor Real</t>
        </r>
      </text>
    </comment>
    <comment ref="J1" authorId="0" shapeId="0" xr:uid="{4BD2BD0D-EAB9-46CD-848A-85FBD0236F43}">
      <text>
        <r>
          <rPr>
            <b/>
            <sz val="9"/>
            <color indexed="81"/>
            <rFont val="Segoe UI"/>
            <family val="2"/>
          </rPr>
          <t>Felipe Camargo de Barros:</t>
        </r>
        <r>
          <rPr>
            <sz val="9"/>
            <color indexed="81"/>
            <rFont val="Segoe UI"/>
            <family val="2"/>
          </rPr>
          <t xml:space="preserve">
Corresponde a 40% do Valor Real</t>
        </r>
      </text>
    </comment>
    <comment ref="D2" authorId="1" shapeId="0" xr:uid="{8D35B880-53D0-412A-BD8A-60A69CC63C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superior - MO de outro estado
</t>
      </text>
    </comment>
  </commentList>
</comments>
</file>

<file path=xl/sharedStrings.xml><?xml version="1.0" encoding="utf-8"?>
<sst xmlns="http://schemas.openxmlformats.org/spreadsheetml/2006/main" count="1141" uniqueCount="374">
  <si>
    <t>N. SÉRIE</t>
  </si>
  <si>
    <t>EQUIPAMENTO</t>
  </si>
  <si>
    <t>Unidades</t>
  </si>
  <si>
    <t>CLIENTE</t>
  </si>
  <si>
    <t>ENDEREÇO</t>
  </si>
  <si>
    <t>BAIRRO</t>
  </si>
  <si>
    <t>CIDADE</t>
  </si>
  <si>
    <t>ESTADO</t>
  </si>
  <si>
    <t>INSTALAÇÃO VP</t>
  </si>
  <si>
    <t xml:space="preserve">SITUAÇÃO DA DOCUMENTAÇÃO </t>
  </si>
  <si>
    <t>MONTADOR</t>
  </si>
  <si>
    <t>VISTORIADOR</t>
  </si>
  <si>
    <t>LIBERAÇÃO LOCAL (ESTIMADO CLIENTE)</t>
  </si>
  <si>
    <t>PREVISÃO INICIO</t>
  </si>
  <si>
    <t>PREVISÃO TÉRMINO</t>
  </si>
  <si>
    <t>MATERIAL</t>
  </si>
  <si>
    <t>OBSERVAÇÕES</t>
  </si>
  <si>
    <t>500.0295</t>
  </si>
  <si>
    <t>ANKARA ENGENHARIA</t>
  </si>
  <si>
    <t>Rua: Maria Cecilia, 135 - Salvador - CEP: 40715-400</t>
  </si>
  <si>
    <t>Rio Sena</t>
  </si>
  <si>
    <t>Salvador</t>
  </si>
  <si>
    <t>BA</t>
  </si>
  <si>
    <t>Sim</t>
  </si>
  <si>
    <t>RN Scal</t>
  </si>
  <si>
    <t xml:space="preserve">Paulo </t>
  </si>
  <si>
    <t>=</t>
  </si>
  <si>
    <t>500.0311</t>
  </si>
  <si>
    <t>Elevador de Passageiros - 600 - 10 - 25,08 - MRL - 1 PORTA</t>
  </si>
  <si>
    <t>SANSO EMPREENDIMENTOS</t>
  </si>
  <si>
    <t>RUA ARY ARIOVALDO EBOLI, 49 - VILA GOMES / SP _ Proximo a USP</t>
  </si>
  <si>
    <t>Vila Gomes</t>
  </si>
  <si>
    <t>SP</t>
  </si>
  <si>
    <t>Á definir</t>
  </si>
  <si>
    <t>Silvio</t>
  </si>
  <si>
    <t>VERTICALPARTS</t>
  </si>
  <si>
    <t>500.0312</t>
  </si>
  <si>
    <t xml:space="preserve">Elevador de Passageiros – 1575 – 04 – 12 – MRL – 1porta </t>
  </si>
  <si>
    <t>KAÇULA LOJA 3</t>
  </si>
  <si>
    <t>AVENIDA AIMARA, 20 - PA PIRAJUSSARA - EMBU DAS ARTES</t>
  </si>
  <si>
    <t>Pirajussara</t>
  </si>
  <si>
    <t>Embu das Artes</t>
  </si>
  <si>
    <t>Sem Previsão</t>
  </si>
  <si>
    <t>NO CLIENTE</t>
  </si>
  <si>
    <t>Obra em atraso</t>
  </si>
  <si>
    <t>500.0313</t>
  </si>
  <si>
    <t>300.0321</t>
  </si>
  <si>
    <t>Escada Rolante - 35º - 1000mm  4000mm</t>
  </si>
  <si>
    <t>BEZERRA CONFECÇÕES LTDA - EPP</t>
  </si>
  <si>
    <t>Rua 28 de Outubro, nº 2916 – Centro – Mirassol D’Oeste/MT – CEP: 78280</t>
  </si>
  <si>
    <t>Centro</t>
  </si>
  <si>
    <t>Mirassol D'oeste</t>
  </si>
  <si>
    <t>MT</t>
  </si>
  <si>
    <t>TK Rodrigues</t>
  </si>
  <si>
    <t>Antonio Rodrigues</t>
  </si>
  <si>
    <t>Alexandre Schmdt</t>
  </si>
  <si>
    <t>500.0328</t>
  </si>
  <si>
    <t xml:space="preserve">Elevador Panorâmico – 600 – 03 – 7,9– MRL – 1 Porta </t>
  </si>
  <si>
    <t>POTI MINERADORA E CONSTRUTORA LTDA</t>
  </si>
  <si>
    <t>Estrada Vicinal, 0 - Lote 25, Chacara Porteira - Luzimangues - CEP: 077500-000</t>
  </si>
  <si>
    <t>Chacara Porteira</t>
  </si>
  <si>
    <t>Luminangues</t>
  </si>
  <si>
    <t>TO</t>
  </si>
  <si>
    <t>Não</t>
  </si>
  <si>
    <t>500.0330</t>
  </si>
  <si>
    <t xml:space="preserve">Elevador de Passageiros – 600 – 21 – 61,2 – MRL – 1 Porta </t>
  </si>
  <si>
    <t>NORTE COMERCIO E INSTALACAO DE ELEVADORES LTDA</t>
  </si>
  <si>
    <t>Arso, 32 - QI 05 - Rua 02 - Lote 1 - Palmas - Tocantis</t>
  </si>
  <si>
    <t>Plano Diretor Sul</t>
  </si>
  <si>
    <t>Palmas</t>
  </si>
  <si>
    <t>500.0331</t>
  </si>
  <si>
    <t>500.0333</t>
  </si>
  <si>
    <t xml:space="preserve">Elevador de Passageiros – 600 – 15 – 41,11 – MRL – 1 Porta </t>
  </si>
  <si>
    <t>ENGEVIK CONSTRUTORA - URBAN</t>
  </si>
  <si>
    <t>Rua José Lopes Pereira, 15 - Campo Limpo</t>
  </si>
  <si>
    <t>Campo Limpo</t>
  </si>
  <si>
    <t>São Paulo</t>
  </si>
  <si>
    <t>Aguardando liberação financeira</t>
  </si>
  <si>
    <t>500.0334</t>
  </si>
  <si>
    <t>500.0340</t>
  </si>
  <si>
    <t xml:space="preserve">Elevador de Passageiros – 1600 – 3 – 7,55 – MRL – 1 Porta </t>
  </si>
  <si>
    <t>SUPERMERCADO CATANDUVA</t>
  </si>
  <si>
    <t>Rua Professora Nina Stocco, nº 780, Jd. Catanduva, São Paulo/SP, CEP 05767-001</t>
  </si>
  <si>
    <t>500.0341</t>
  </si>
  <si>
    <t>500.0338</t>
  </si>
  <si>
    <t xml:space="preserve">Elevador de Passageiros – 600 – 10 – 29,2 – MRL – 1 Porta </t>
  </si>
  <si>
    <t>PRIVILEGIO CONSTRUÇÂO E INCORPORAÇÃO SPE LTDA</t>
  </si>
  <si>
    <t xml:space="preserve">Rua Padre João, n.418 – Penha de França – São Paulo - CEP: 03.637-000 </t>
  </si>
  <si>
    <t>Penha</t>
  </si>
  <si>
    <t>Gelson</t>
  </si>
  <si>
    <t>500.0339</t>
  </si>
  <si>
    <t>400.0343</t>
  </si>
  <si>
    <t>Esteira Rolante  SEQUOIA- 12° - 1000mm - 5600mm</t>
  </si>
  <si>
    <t>MERCADÃO ATACADISTA LJ-16 - CAMPO LIMPO</t>
  </si>
  <si>
    <t>Estrada do Campo Limpo, 4445 - Jardim Campo Limpo, São Paulo - SP, 05787-000</t>
  </si>
  <si>
    <t>400.0344</t>
  </si>
  <si>
    <t>500.0346</t>
  </si>
  <si>
    <t xml:space="preserve">Elevador de Passageiros - 1125 - 4 - 19,08 - MR - 1 Porta </t>
  </si>
  <si>
    <t>HOSPITAL LEONARDO DA VINCI / UNIQUE</t>
  </si>
  <si>
    <t>Rua Joci José Martins, 515 – Passa Vinte - Palhoça/SC – 88132-148</t>
  </si>
  <si>
    <t>Passa Vinte</t>
  </si>
  <si>
    <t>Palhoça</t>
  </si>
  <si>
    <t>SC</t>
  </si>
  <si>
    <t>Fabio Assis</t>
  </si>
  <si>
    <t>Gabriel</t>
  </si>
  <si>
    <t xml:space="preserve">Fabio </t>
  </si>
  <si>
    <t>EM TRAJETO</t>
  </si>
  <si>
    <t>Obra em atraso, de acordo com a vistoria prévia pelo Daniel (15/07/2026)</t>
  </si>
  <si>
    <t>500.0347</t>
  </si>
  <si>
    <t xml:space="preserve">Elevador de Maca/Leito - 1575 - 18 - 61,74 - MR - 1 Porta </t>
  </si>
  <si>
    <t>Daniel</t>
  </si>
  <si>
    <t>500.0348</t>
  </si>
  <si>
    <t xml:space="preserve">Elevador de Passageiros - 1125 - 14 - 58,14 - MR - 1 Porta </t>
  </si>
  <si>
    <t>500.0349</t>
  </si>
  <si>
    <t>Claudemir</t>
  </si>
  <si>
    <t>500.0350</t>
  </si>
  <si>
    <t>500.0351</t>
  </si>
  <si>
    <t xml:space="preserve">Elevador de Maca/Leito - 1575 - 17 - 58,14 - MR - 1 Porta </t>
  </si>
  <si>
    <t>500.0352</t>
  </si>
  <si>
    <t>500.0353</t>
  </si>
  <si>
    <t xml:space="preserve">Elevador de Maca/Leito - 1200 - 18 - 57,96 - MR - 1 Porta </t>
  </si>
  <si>
    <t>500.0354</t>
  </si>
  <si>
    <t>500.0355</t>
  </si>
  <si>
    <t>PHD BIJUTERIAS</t>
  </si>
  <si>
    <t>R. Paula Souza, 497 - São Paulo (SP);</t>
  </si>
  <si>
    <t>Centro Historico</t>
  </si>
  <si>
    <t>Fernando Pavanne</t>
  </si>
  <si>
    <t>Em montagem, montador se ausentou da obra com problemas pessoais</t>
  </si>
  <si>
    <t>500.0356</t>
  </si>
  <si>
    <t xml:space="preserve">Elevador de Passageiros – 1650 – 14 – 40,15– MRL – 1 Porta </t>
  </si>
  <si>
    <t>PRAIANO HOTEL</t>
  </si>
  <si>
    <t>Av. Beira Mar, 2800 - Meireles - CEP: 60165-121 - Fortaleza (CE);</t>
  </si>
  <si>
    <t>Meireles</t>
  </si>
  <si>
    <t>Fortaleza</t>
  </si>
  <si>
    <t>CE</t>
  </si>
  <si>
    <t>500.0362</t>
  </si>
  <si>
    <t xml:space="preserve">Elevador de Carga – 2000 – 08 – 23,5 – MRL – 1 Porta </t>
  </si>
  <si>
    <t>INOVAÇÃO</t>
  </si>
  <si>
    <t>Rua Plinio Ramos, 186 - Centro Historico de São Paulo</t>
  </si>
  <si>
    <t xml:space="preserve">Luis Fernando </t>
  </si>
  <si>
    <t>Luis Fernando</t>
  </si>
  <si>
    <t>Mauricio</t>
  </si>
  <si>
    <t>Em montagem</t>
  </si>
  <si>
    <t>500.0365</t>
  </si>
  <si>
    <t xml:space="preserve">Elevador de Passageiros – 975 – 3 – 6,3 – MRL – 1 Porta </t>
  </si>
  <si>
    <t>COMPANHIA ATHLETICA</t>
  </si>
  <si>
    <t>Aeroporto, Lote 5 - Lago Sul - CEP: 70297 - 400 - Brasilia</t>
  </si>
  <si>
    <t>Lago Sul</t>
  </si>
  <si>
    <t>Brasilia</t>
  </si>
  <si>
    <t>DF</t>
  </si>
  <si>
    <t>Escamax</t>
  </si>
  <si>
    <t>Yoanderson</t>
  </si>
  <si>
    <t>500.0367</t>
  </si>
  <si>
    <t xml:space="preserve">Elevador de Passageiros – 630 – 9 – 24,84 – MR – 1 Porta </t>
  </si>
  <si>
    <t>CA EMPREENDIMENTOS  - Edifício Florença</t>
  </si>
  <si>
    <t>AV. JOÃO HENNINGS FILHO, 2 - BAIRRO DAS NAÇÕES - INDAIAL/SC</t>
  </si>
  <si>
    <t>Nações</t>
  </si>
  <si>
    <t>Indaial</t>
  </si>
  <si>
    <t>500.0368</t>
  </si>
  <si>
    <t xml:space="preserve">Elevador de Passageiros – 630 – 23 – 72 – MR – 1 Porta </t>
  </si>
  <si>
    <t>CA EMPREENDIMENTOS  - Ilhas Maldivas</t>
  </si>
  <si>
    <t>R. BRUSQUE, 97- PORTO BELO - SC</t>
  </si>
  <si>
    <t>Porto Belo</t>
  </si>
  <si>
    <t>500.0369</t>
  </si>
  <si>
    <t>500.0370</t>
  </si>
  <si>
    <t xml:space="preserve">Elevador de Passageiros – 630 – 4 – 12 – MRL – 1 Porta </t>
  </si>
  <si>
    <t>HYPERLIFT ELEVADORES</t>
  </si>
  <si>
    <t>R. SÉRGIO DJALMA DE HOLLANDA, 658 - CASCAVEL (PR)</t>
  </si>
  <si>
    <t>Parque São Paulo</t>
  </si>
  <si>
    <t>Cascavel</t>
  </si>
  <si>
    <t>PR</t>
  </si>
  <si>
    <t>500.0371</t>
  </si>
  <si>
    <t xml:space="preserve">Elevador Homelift - 400-3-6-MRL-1 Porta </t>
  </si>
  <si>
    <t>ALVORADA LOCAÇÃO</t>
  </si>
  <si>
    <t>R. BATISTA DE OLIVEIRA, 597 - CEP: 36010-120 - JUIZ DE FORA (MG)</t>
  </si>
  <si>
    <t>Juiz de Fora</t>
  </si>
  <si>
    <t>MG</t>
  </si>
  <si>
    <t>Adeilson Fragoso</t>
  </si>
  <si>
    <t>500.0372</t>
  </si>
  <si>
    <t xml:space="preserve">Elevador de Passageiros – 1200 – 5 – 19,5 – MRL – 1 Porta </t>
  </si>
  <si>
    <t>PARAGUAÇU ENGENHARIA</t>
  </si>
  <si>
    <t>Av. Atlantica, BA - KM 2,5 - Camaçari - BA - CEP: 42810-440</t>
  </si>
  <si>
    <t>Camaçari</t>
  </si>
  <si>
    <t>Incompleta</t>
  </si>
  <si>
    <t>500.0373</t>
  </si>
  <si>
    <t>Paulo</t>
  </si>
  <si>
    <t>500.0374</t>
  </si>
  <si>
    <t>Marcelo</t>
  </si>
  <si>
    <t>500.0375</t>
  </si>
  <si>
    <t xml:space="preserve">Elevador de Passageiros – 630 – 15 – 39 – MRL – 1 Porta </t>
  </si>
  <si>
    <t>VIP GALES EMPREENDIMENTOS IMOBILIÁRIOS</t>
  </si>
  <si>
    <t>Rua Vicente de Carvalho, 198 - Santo André - CEP: 09060-590</t>
  </si>
  <si>
    <t>Vila Principe Gales</t>
  </si>
  <si>
    <t xml:space="preserve">Santo André </t>
  </si>
  <si>
    <t>Ricardo Manoel Inácio</t>
  </si>
  <si>
    <t>500.0376</t>
  </si>
  <si>
    <t>500.0377</t>
  </si>
  <si>
    <t xml:space="preserve">Elevador de Passageiros – 630 – 22 – 65,2 – MRL – 1 Porta </t>
  </si>
  <si>
    <t>VB 2304 GOIABEIRAS EMPREENDIMENTOS IMOBILIÁRIOS</t>
  </si>
  <si>
    <t>Rua das Goiabeiras, 142 - Jardim - Santo André - CEP: 09090-060</t>
  </si>
  <si>
    <t>Jd Santo André</t>
  </si>
  <si>
    <t>500.0378</t>
  </si>
  <si>
    <t>500.0379</t>
  </si>
  <si>
    <t>500.0380</t>
  </si>
  <si>
    <t xml:space="preserve">Elevador de Passageiros – 750 – 4 – 15 – MRL – 1 Porta </t>
  </si>
  <si>
    <t>500.0381</t>
  </si>
  <si>
    <t xml:space="preserve">Elevador de Passageiros – 630 – 12 – 35,28 – MRL – 1 Porta </t>
  </si>
  <si>
    <t>Rua Rio Grande do Sul - Estados - Indaial / SC -89080-030</t>
  </si>
  <si>
    <t>Estados</t>
  </si>
  <si>
    <t>500.0382</t>
  </si>
  <si>
    <t xml:space="preserve">Elevador de Passageiros – 975 – 12 – 35,28 – MRL – 1 Porta </t>
  </si>
  <si>
    <t>500.0383</t>
  </si>
  <si>
    <t xml:space="preserve">Elevador de Passageiros – 630 – 12 – 30,84 – MR – 1 Porta </t>
  </si>
  <si>
    <t>AZEKA PARTICIPAÇÕES ( BANDEIRA PAULISTA)</t>
  </si>
  <si>
    <t>Rua Bandeira Paulista, 808 - Itaim Bibi</t>
  </si>
  <si>
    <t>Itaim Bibi</t>
  </si>
  <si>
    <t>Obra em atraso - Aguardando confirmação do cliente</t>
  </si>
  <si>
    <t>Modernização de Elevador</t>
  </si>
  <si>
    <t>AZEKA - CONDOMINIO BANDEIRA PAULISTA - MOD</t>
  </si>
  <si>
    <t>R. Bandeira Paulista, 808 - Itaim Bibi - CEP: 04532-012 - São Paulo (SP);</t>
  </si>
  <si>
    <t>Aguardando confirmação do cliente</t>
  </si>
  <si>
    <t>500.0384</t>
  </si>
  <si>
    <t xml:space="preserve">Elevador de Passageiros – 525 – 9 – 23,5 – MRL – 1 Porta </t>
  </si>
  <si>
    <t xml:space="preserve">TH DANTAS CONSTRUTORA LTDA  - Rua Jose Mendes Junior </t>
  </si>
  <si>
    <t>Rua José Mendes Junior, 228 - Vila Matilde - São Paulo</t>
  </si>
  <si>
    <t>Vila Matilde</t>
  </si>
  <si>
    <t>Luis Carlos Januario</t>
  </si>
  <si>
    <t>Luis / Edmilson</t>
  </si>
  <si>
    <t>Arilene</t>
  </si>
  <si>
    <t>500.0385</t>
  </si>
  <si>
    <t xml:space="preserve">Elevador de Passageiros – 630 – 5 – 11,28 – MRL – 1 Porta </t>
  </si>
  <si>
    <t xml:space="preserve">TH DANTAS CONSTRUTORA LTDA  - Rua Do Trabalho </t>
  </si>
  <si>
    <t>Rua do Trabalho x Napoleão</t>
  </si>
  <si>
    <t xml:space="preserve">Antonio Marcos dos Santos </t>
  </si>
  <si>
    <t>Antonio/ Alexandre</t>
  </si>
  <si>
    <t>500.0388</t>
  </si>
  <si>
    <t xml:space="preserve">Elevador de Passageiros – 1200 – 6 – 17,72 – MRL – 1 Porta </t>
  </si>
  <si>
    <t>JOÃO GILBERTO PUNTIM</t>
  </si>
  <si>
    <t>Rua Oswaldo Collino, 840 - Osasco - São Paulo</t>
  </si>
  <si>
    <t>Osasco</t>
  </si>
  <si>
    <t>Obra em atraso - Pendente QF - Trifásico liberação</t>
  </si>
  <si>
    <t>500.0389</t>
  </si>
  <si>
    <t xml:space="preserve">Elevador de Passageiros – 630 – 9 – 24 – MR – 1 Porta </t>
  </si>
  <si>
    <t>CONSTRUTORA E INCORPORADOR MURANO LTDA</t>
  </si>
  <si>
    <t>Rua Hercilia esquina Rua Eugênia de Carvalho - Vila Matilde - São Paulo - 03512-000</t>
  </si>
  <si>
    <t>500.0390</t>
  </si>
  <si>
    <t xml:space="preserve">Elevador Homelift - 400 - 4 - 9 - MRL - 1 Porta </t>
  </si>
  <si>
    <t>SUL ELEV</t>
  </si>
  <si>
    <t>Rua Manoel Joaquim Gonçalves, 99 - São Carlos - Barra Mansa - RJ</t>
  </si>
  <si>
    <t>São Carlos</t>
  </si>
  <si>
    <t>Barra Mansa</t>
  </si>
  <si>
    <t>RJ</t>
  </si>
  <si>
    <t>500.0393</t>
  </si>
  <si>
    <t>500.0391</t>
  </si>
  <si>
    <t xml:space="preserve">Elevador de Passageiros – 630 – 2 – 3,5 – MRL – 1 Porta </t>
  </si>
  <si>
    <t>GOL LINHAS AÉREAS</t>
  </si>
  <si>
    <t xml:space="preserve"> Rua Monsenhor Antonio Pepe, nº 94 – Pq. Jabaquara – São Paulo/SP – CEP: 04357-080</t>
  </si>
  <si>
    <t>Pq Jabaquara</t>
  </si>
  <si>
    <t>EM FABRICAÇÃO</t>
  </si>
  <si>
    <t>400.0398</t>
  </si>
  <si>
    <t>Esteira Rolante  Sequoia - 12° - 1000mm - 3800mm</t>
  </si>
  <si>
    <t>IMOVEIS HCB (BOIZÃO)</t>
  </si>
  <si>
    <t>Rua Jequirituba, 2350 - Jardim Castro Alves - São Paulo</t>
  </si>
  <si>
    <t>Jardim Castro Alves</t>
  </si>
  <si>
    <t>400.0399</t>
  </si>
  <si>
    <t>500.0400</t>
  </si>
  <si>
    <t xml:space="preserve">Elevador de Passageiros – 630 – 4 – 9,99 – MR – 2 Portas </t>
  </si>
  <si>
    <t>CINEMAS PARIS SEVERIANO RIBEIRO LTDA</t>
  </si>
  <si>
    <t>Epia Sai/SO Area 6580 - Lote 101 - Guará - Brasilia (DF) - CEP:  70310 - 500</t>
  </si>
  <si>
    <t>Guará</t>
  </si>
  <si>
    <t>500.0401</t>
  </si>
  <si>
    <t xml:space="preserve">Elevador de Carga – 5000 – 2 – 6 – MRL – 1 Porta </t>
  </si>
  <si>
    <t>LUA NOVA IND E COMÉRCIO (PANCO)</t>
  </si>
  <si>
    <t>Rua Aruja, 266 - Jardim Luiza - Guararema - CEP: 08900-000</t>
  </si>
  <si>
    <t>Jardim Luiza</t>
  </si>
  <si>
    <t>Guararema</t>
  </si>
  <si>
    <t>500.0402</t>
  </si>
  <si>
    <t xml:space="preserve">Elevador de Carga – 3300 – 2 – 6 – MRL – 1 Porta </t>
  </si>
  <si>
    <t>Escada Rolante - Remoção</t>
  </si>
  <si>
    <t>METRO BH</t>
  </si>
  <si>
    <t>Av. Nossa Sra. do Carmo, 1801 - Sion, Belo Horizonte - MG, 30320-000</t>
  </si>
  <si>
    <t>Belo Horizonte</t>
  </si>
  <si>
    <t>BH</t>
  </si>
  <si>
    <t xml:space="preserve">Relação de documentos solicitada </t>
  </si>
  <si>
    <t>Escada Rolante - Remoção (5, 6, 7)</t>
  </si>
  <si>
    <t>METRO SP - LINHA AZUL - SÃO JOAQUIM</t>
  </si>
  <si>
    <t>Av. Liberdade, 1000 - Liberdade - São Paulo</t>
  </si>
  <si>
    <t>Liberdade</t>
  </si>
  <si>
    <t xml:space="preserve">Completa </t>
  </si>
  <si>
    <t>Conforme informação do Sergio **Provavelmente Segunda Semana de Agosto**</t>
  </si>
  <si>
    <t>Não Tenho</t>
  </si>
  <si>
    <t>ART</t>
  </si>
  <si>
    <t xml:space="preserve">Vencida </t>
  </si>
  <si>
    <t>Assinada</t>
  </si>
  <si>
    <t>NÚMERAÇÃO</t>
  </si>
  <si>
    <t>8A20251006731</t>
  </si>
  <si>
    <t>2620260576468</t>
  </si>
  <si>
    <t>2620261678754</t>
  </si>
  <si>
    <t>BA20261437094</t>
  </si>
  <si>
    <t>2620260588932</t>
  </si>
  <si>
    <t>2620260589236</t>
  </si>
  <si>
    <t xml:space="preserve">LAR E CONSTRUCAO QUASE TUDO LTDA  </t>
  </si>
  <si>
    <t xml:space="preserve">Elevador Panorâmico – 1000 – 2 – 4– MRL – 1 Porta </t>
  </si>
  <si>
    <t>500.0395</t>
  </si>
  <si>
    <t>Paraty</t>
  </si>
  <si>
    <t xml:space="preserve">Rio de Janeiro </t>
  </si>
  <si>
    <t>Rua Lourival Valentim dos Santos, 347 - Paraty/RJ - CEP: 23970-000</t>
  </si>
  <si>
    <t>500.0396</t>
  </si>
  <si>
    <t xml:space="preserve">Elevador de Carga – 2000 – 5 – 12 – MRL – 1 Porta </t>
  </si>
  <si>
    <t>SHOPPING BOUGAINVILLE</t>
  </si>
  <si>
    <t xml:space="preserve">Elevador de Passageiros – 630 – 3 – 6,5 – MR – 1 Porta </t>
  </si>
  <si>
    <t>SF INCORPORAÇÕES</t>
  </si>
  <si>
    <t>Passeio dos Coqueiros, 600 - Bertioga/SP - CEP: 11262-093</t>
  </si>
  <si>
    <t>Bertioga</t>
  </si>
  <si>
    <t>Previsão de chegada 15/09/2026</t>
  </si>
  <si>
    <t>Rua 9, 1855 Setor Marista - Goiania/GO - CEP: 74150-130</t>
  </si>
  <si>
    <t>Setor Marista</t>
  </si>
  <si>
    <t>Goiania</t>
  </si>
  <si>
    <t>GO</t>
  </si>
  <si>
    <t>CA CONDOMÍNIO EDIFÍCIO RAVENNA</t>
  </si>
  <si>
    <t>500.0397</t>
  </si>
  <si>
    <t>ALVARÁ DE INSTALAÇÃO</t>
  </si>
  <si>
    <t>ALVARÁ DE FUNCIONAMENTO</t>
  </si>
  <si>
    <t>DATA TÉRMINO</t>
  </si>
  <si>
    <t>DATA INICIO PROCESSO</t>
  </si>
  <si>
    <t>PREVISÃO CHEGADA MATERIAL</t>
  </si>
  <si>
    <t>ENTREGA MATERIAL LOCAL</t>
  </si>
  <si>
    <t>CHEGADA MATERIAL REAL PORTO</t>
  </si>
  <si>
    <t>FORMULARIO DE TRANSPORTE + EQUIPAMENTOS</t>
  </si>
  <si>
    <t xml:space="preserve">Não precisa </t>
  </si>
  <si>
    <t>VALOR REAL</t>
  </si>
  <si>
    <t>VALOR DE TABELA</t>
  </si>
  <si>
    <t>Plataforma de Acessibilidade - MRL - 02 - 1.0 - 325</t>
  </si>
  <si>
    <t>30 DIAS</t>
  </si>
  <si>
    <t>25 DIAS</t>
  </si>
  <si>
    <t>45 DIAS</t>
  </si>
  <si>
    <t xml:space="preserve">35 DIAS </t>
  </si>
  <si>
    <t>35 DIAS</t>
  </si>
  <si>
    <t>40 DIAS</t>
  </si>
  <si>
    <t xml:space="preserve">Ricardo </t>
  </si>
  <si>
    <t>LR GROUP ELEVADORES</t>
  </si>
  <si>
    <t xml:space="preserve">DATA REAL TÉRMINO </t>
  </si>
  <si>
    <t xml:space="preserve">DATA REAL INÍCIO </t>
  </si>
  <si>
    <t xml:space="preserve">Não Precisa </t>
  </si>
  <si>
    <t xml:space="preserve"> </t>
  </si>
  <si>
    <t>PRAZO DE INSTALAÇÃO (DIAS)</t>
  </si>
  <si>
    <t>Ag. Liberação, equipamento foi divergente - será substituido parte dos materiais (oposta x adjacente)</t>
  </si>
  <si>
    <t>Obra em atraso - Agendar vistoria para inicio de Agosto 2026</t>
  </si>
  <si>
    <t>Obra em atraso - sem previsão</t>
  </si>
  <si>
    <t>Equipamento finalizado</t>
  </si>
  <si>
    <t>TEMPO MONT E INSTALAÇÃO</t>
  </si>
  <si>
    <t>10 DIAS</t>
  </si>
  <si>
    <t>Aguardando liberação do local</t>
  </si>
  <si>
    <t>STATUS</t>
  </si>
  <si>
    <t>1° Parcela</t>
  </si>
  <si>
    <t>Paga</t>
  </si>
  <si>
    <t>3° Parcela</t>
  </si>
  <si>
    <t>2° Parcela</t>
  </si>
  <si>
    <t xml:space="preserve">Esperando a obra validar a documentação </t>
  </si>
  <si>
    <t>06/08/2026</t>
  </si>
  <si>
    <t>03/08/2026</t>
  </si>
  <si>
    <t>FAZER ART - ALEXANDRE SCHMIDT</t>
  </si>
  <si>
    <t xml:space="preserve">RESPONSÁVEL PELO ALVARÁ </t>
  </si>
  <si>
    <t>500.0359</t>
  </si>
  <si>
    <t>500.0360</t>
  </si>
  <si>
    <t>500.0361</t>
  </si>
  <si>
    <t>R. Paula Souza, 497 - São Paulo (SP)</t>
  </si>
  <si>
    <t xml:space="preserve">Elevador de Passageiros – 1600 – 8 – 22,9 – MRL – 1 Porta </t>
  </si>
  <si>
    <t>EMPRESA MONTAGEM</t>
  </si>
  <si>
    <t>EMPRESA VISTOTIA</t>
  </si>
  <si>
    <t>VerticalParts</t>
  </si>
  <si>
    <t>Terceiro</t>
  </si>
  <si>
    <t>PAGAMENTO POR VISTORIA</t>
  </si>
  <si>
    <t>LINHA DO TEMPO DA INSTALAÇÃO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</si>
</sst>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double">
        <color auto="1"/>
      </right>
      <top style="double">
        <color auto="1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medium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4" fillId="4" borderId="1" xfId="0" applyFont="1" applyFill="1" applyBorder="1"/>
    <xf numFmtId="49" fontId="2" fillId="0" borderId="2" xfId="0" applyNumberFormat="1" applyFont="1" applyBorder="1" applyAlignment="1">
      <alignment horizontal="center"/>
    </xf>
    <xf numFmtId="0" fontId="2" fillId="0" borderId="3" xfId="0" applyFont="1" applyBorder="1"/>
    <xf numFmtId="49" fontId="3" fillId="0" borderId="2" xfId="0" applyNumberFormat="1" applyFont="1" applyBorder="1" applyAlignment="1">
      <alignment horizontal="center"/>
    </xf>
    <xf numFmtId="0" fontId="5" fillId="5" borderId="3" xfId="0" applyFont="1" applyFill="1" applyBorder="1"/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3" fillId="0" borderId="11" xfId="0" applyFont="1" applyBorder="1"/>
    <xf numFmtId="49" fontId="3" fillId="3" borderId="11" xfId="0" applyNumberFormat="1" applyFont="1" applyFill="1" applyBorder="1" applyAlignment="1">
      <alignment horizontal="center"/>
    </xf>
    <xf numFmtId="0" fontId="3" fillId="4" borderId="1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4" fillId="6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65" fontId="1" fillId="2" borderId="1" xfId="2" applyNumberFormat="1" applyFont="1" applyFill="1" applyBorder="1" applyAlignment="1">
      <alignment horizontal="center" vertical="center" wrapText="1"/>
    </xf>
    <xf numFmtId="165" fontId="4" fillId="0" borderId="1" xfId="2" applyNumberFormat="1" applyFont="1" applyBorder="1" applyAlignment="1">
      <alignment horizontal="center" vertical="center" wrapText="1"/>
    </xf>
    <xf numFmtId="165" fontId="4" fillId="0" borderId="1" xfId="2" applyNumberFormat="1" applyFont="1" applyBorder="1" applyAlignment="1">
      <alignment horizontal="center" vertical="justify" wrapText="1"/>
    </xf>
    <xf numFmtId="165" fontId="2" fillId="0" borderId="0" xfId="2" applyNumberFormat="1" applyFont="1" applyAlignment="1">
      <alignment horizontal="center" vertical="justify"/>
    </xf>
    <xf numFmtId="44" fontId="2" fillId="0" borderId="5" xfId="1" applyFont="1" applyBorder="1"/>
    <xf numFmtId="164" fontId="4" fillId="0" borderId="1" xfId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0" borderId="11" xfId="0" applyNumberFormat="1" applyBorder="1"/>
    <xf numFmtId="0" fontId="2" fillId="0" borderId="11" xfId="0" applyFont="1" applyBorder="1"/>
    <xf numFmtId="0" fontId="3" fillId="0" borderId="11" xfId="0" applyFont="1" applyBorder="1" applyAlignment="1">
      <alignment horizontal="left"/>
    </xf>
    <xf numFmtId="0" fontId="2" fillId="0" borderId="1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rticalParts - Arilene Avila" id="{81CBAB6E-B11F-4F8F-9E18-4C29AEB3A09F}" userId="S::arilene.avila@verticalparts.com.br::4045b66d-19a6-4426-97f7-13313988595d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7-31T16:58:42.02" personId="{81CBAB6E-B11F-4F8F-9E18-4C29AEB3A09F}" id="{8D35B880-53D0-412A-BD8A-60A69CC63C38}">
    <text xml:space="preserve">Valor superior - MO de outro estado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8"/>
  <sheetViews>
    <sheetView tabSelected="1" topLeftCell="AL1" zoomScale="115" zoomScaleNormal="115" workbookViewId="0">
      <pane ySplit="1" topLeftCell="A2" activePane="bottomLeft" state="frozen"/>
      <selection activeCell="H1" sqref="H1"/>
      <selection pane="bottomLeft" activeCell="AT2" sqref="AT2"/>
    </sheetView>
  </sheetViews>
  <sheetFormatPr defaultColWidth="9.109375" defaultRowHeight="13.8" outlineLevelCol="1" x14ac:dyDescent="0.3"/>
  <cols>
    <col min="1" max="1" width="9.6640625" style="1" bestFit="1" customWidth="1"/>
    <col min="2" max="2" width="46.5546875" style="1" customWidth="1" outlineLevel="1"/>
    <col min="3" max="3" width="19.33203125" style="1" customWidth="1" outlineLevel="1"/>
    <col min="4" max="4" width="14.88671875" style="1" customWidth="1" outlineLevel="1"/>
    <col min="5" max="5" width="8.33203125" style="1" customWidth="1" outlineLevel="1"/>
    <col min="6" max="6" width="13.44140625" style="1" customWidth="1" outlineLevel="1"/>
    <col min="7" max="7" width="8.33203125" style="1" customWidth="1" outlineLevel="1"/>
    <col min="8" max="8" width="13.44140625" style="1" customWidth="1" outlineLevel="1"/>
    <col min="9" max="9" width="8.33203125" style="1" customWidth="1" outlineLevel="1"/>
    <col min="10" max="10" width="13.44140625" style="1" customWidth="1" outlineLevel="1"/>
    <col min="11" max="11" width="9.33203125" style="1" customWidth="1" outlineLevel="1"/>
    <col min="12" max="12" width="46.44140625" style="1" bestFit="1" customWidth="1"/>
    <col min="13" max="13" width="67" style="1" customWidth="1" outlineLevel="1"/>
    <col min="14" max="14" width="15.6640625" style="1" customWidth="1" outlineLevel="1"/>
    <col min="15" max="15" width="14" style="1" customWidth="1" outlineLevel="1"/>
    <col min="16" max="16" width="9.33203125" style="46" customWidth="1" outlineLevel="1"/>
    <col min="17" max="17" width="10.33203125" style="46" customWidth="1" outlineLevel="1"/>
    <col min="18" max="18" width="14.5546875" style="46" customWidth="1" outlineLevel="1"/>
    <col min="19" max="19" width="15.44140625" style="1" customWidth="1"/>
    <col min="20" max="22" width="15.44140625" style="1" hidden="1" customWidth="1" outlineLevel="1"/>
    <col min="23" max="23" width="14.5546875" style="1" customWidth="1" collapsed="1"/>
    <col min="24" max="26" width="15.44140625" style="1" customWidth="1"/>
    <col min="27" max="27" width="19.109375" style="46" customWidth="1" outlineLevel="1"/>
    <col min="28" max="28" width="28.33203125" style="46" customWidth="1" outlineLevel="1"/>
    <col min="29" max="32" width="16.6640625" style="46" customWidth="1" outlineLevel="1"/>
    <col min="33" max="33" width="15.44140625" style="1" customWidth="1"/>
    <col min="34" max="34" width="16.6640625" style="46" customWidth="1" outlineLevel="1"/>
    <col min="35" max="35" width="13.33203125" style="46" customWidth="1" outlineLevel="1"/>
    <col min="36" max="36" width="14.109375" style="46" customWidth="1" outlineLevel="1"/>
    <col min="37" max="37" width="15.44140625" style="1" customWidth="1"/>
    <col min="38" max="38" width="15.44140625" style="6" customWidth="1"/>
    <col min="39" max="39" width="15.44140625" style="63" customWidth="1"/>
    <col min="40" max="40" width="15.44140625" style="1" customWidth="1"/>
    <col min="41" max="42" width="15.44140625" style="1" customWidth="1" outlineLevel="1"/>
    <col min="43" max="43" width="14.44140625" style="1" customWidth="1" outlineLevel="1"/>
    <col min="44" max="44" width="15.44140625" style="1" customWidth="1" outlineLevel="1"/>
    <col min="45" max="45" width="63.88671875" style="1" customWidth="1"/>
    <col min="46" max="16384" width="9.109375" style="1"/>
  </cols>
  <sheetData>
    <row r="1" spans="1:46" ht="24.6" customHeight="1" thickTop="1" thickBot="1" x14ac:dyDescent="0.35">
      <c r="A1" s="33" t="s">
        <v>0</v>
      </c>
      <c r="B1" s="33" t="s">
        <v>1</v>
      </c>
      <c r="C1" s="33" t="s">
        <v>331</v>
      </c>
      <c r="D1" s="33" t="s">
        <v>330</v>
      </c>
      <c r="E1" s="33" t="s">
        <v>353</v>
      </c>
      <c r="F1" s="33" t="s">
        <v>354</v>
      </c>
      <c r="G1" s="33" t="s">
        <v>353</v>
      </c>
      <c r="H1" s="33" t="s">
        <v>357</v>
      </c>
      <c r="I1" s="33" t="s">
        <v>353</v>
      </c>
      <c r="J1" s="33" t="s">
        <v>356</v>
      </c>
      <c r="K1" s="33" t="s">
        <v>2</v>
      </c>
      <c r="L1" s="33" t="s">
        <v>3</v>
      </c>
      <c r="M1" s="33" t="s">
        <v>4</v>
      </c>
      <c r="N1" s="32" t="s">
        <v>5</v>
      </c>
      <c r="O1" s="33" t="s">
        <v>6</v>
      </c>
      <c r="P1" s="32" t="s">
        <v>7</v>
      </c>
      <c r="Q1" s="32" t="s">
        <v>291</v>
      </c>
      <c r="R1" s="32" t="s">
        <v>294</v>
      </c>
      <c r="S1" s="33" t="s">
        <v>8</v>
      </c>
      <c r="T1" s="32" t="s">
        <v>321</v>
      </c>
      <c r="U1" s="51" t="s">
        <v>324</v>
      </c>
      <c r="V1" s="51" t="s">
        <v>323</v>
      </c>
      <c r="W1" s="51" t="s">
        <v>362</v>
      </c>
      <c r="X1" s="51" t="s">
        <v>322</v>
      </c>
      <c r="Y1" s="51" t="s">
        <v>324</v>
      </c>
      <c r="Z1" s="51" t="s">
        <v>323</v>
      </c>
      <c r="AA1" s="51" t="s">
        <v>368</v>
      </c>
      <c r="AB1" s="51" t="s">
        <v>9</v>
      </c>
      <c r="AC1" s="33" t="s">
        <v>10</v>
      </c>
      <c r="AD1" s="32" t="s">
        <v>11</v>
      </c>
      <c r="AE1" s="80" t="s">
        <v>369</v>
      </c>
      <c r="AF1" s="80" t="s">
        <v>372</v>
      </c>
      <c r="AG1" s="51" t="s">
        <v>345</v>
      </c>
      <c r="AH1" s="33" t="s">
        <v>12</v>
      </c>
      <c r="AI1" s="32" t="s">
        <v>13</v>
      </c>
      <c r="AJ1" s="33" t="s">
        <v>14</v>
      </c>
      <c r="AK1" s="33" t="s">
        <v>342</v>
      </c>
      <c r="AL1" s="56" t="s">
        <v>341</v>
      </c>
      <c r="AM1" s="60" t="s">
        <v>350</v>
      </c>
      <c r="AN1" s="51" t="s">
        <v>325</v>
      </c>
      <c r="AO1" s="51" t="s">
        <v>327</v>
      </c>
      <c r="AP1" s="51" t="s">
        <v>328</v>
      </c>
      <c r="AQ1" s="51" t="s">
        <v>15</v>
      </c>
      <c r="AR1" s="51" t="s">
        <v>326</v>
      </c>
      <c r="AS1" s="51" t="s">
        <v>16</v>
      </c>
      <c r="AT1" s="1" t="s">
        <v>373</v>
      </c>
    </row>
    <row r="2" spans="1:46" ht="28.8" thickTop="1" thickBot="1" x14ac:dyDescent="0.35">
      <c r="A2" s="41" t="s">
        <v>17</v>
      </c>
      <c r="B2" s="55" t="s">
        <v>332</v>
      </c>
      <c r="C2" s="52">
        <v>3100</v>
      </c>
      <c r="D2" s="65">
        <v>5500</v>
      </c>
      <c r="E2" s="65"/>
      <c r="F2" s="65"/>
      <c r="G2" s="65"/>
      <c r="H2" s="65"/>
      <c r="I2" s="65"/>
      <c r="J2" s="65"/>
      <c r="K2" s="42">
        <v>1</v>
      </c>
      <c r="L2" s="43" t="s">
        <v>18</v>
      </c>
      <c r="M2" s="43" t="s">
        <v>19</v>
      </c>
      <c r="N2" s="43" t="s">
        <v>20</v>
      </c>
      <c r="O2" s="43" t="s">
        <v>21</v>
      </c>
      <c r="P2" s="42" t="s">
        <v>22</v>
      </c>
      <c r="Q2" s="54" t="s">
        <v>292</v>
      </c>
      <c r="R2" s="54" t="s">
        <v>295</v>
      </c>
      <c r="S2" s="42" t="s">
        <v>23</v>
      </c>
      <c r="T2" s="42"/>
      <c r="U2" s="42"/>
      <c r="V2" s="42"/>
      <c r="W2" s="42"/>
      <c r="X2" s="42"/>
      <c r="Y2" s="42"/>
      <c r="Z2" s="42"/>
      <c r="AA2" s="42" t="s">
        <v>24</v>
      </c>
      <c r="AB2" s="42"/>
      <c r="AC2" s="42" t="s">
        <v>25</v>
      </c>
      <c r="AD2" s="42" t="s">
        <v>25</v>
      </c>
      <c r="AE2" s="42" t="s">
        <v>24</v>
      </c>
      <c r="AF2" s="42"/>
      <c r="AG2" s="42">
        <v>5</v>
      </c>
      <c r="AH2" s="42" t="s">
        <v>26</v>
      </c>
      <c r="AI2" s="42" t="s">
        <v>26</v>
      </c>
      <c r="AJ2" s="42" t="s">
        <v>26</v>
      </c>
      <c r="AK2" s="42"/>
      <c r="AL2" s="41"/>
      <c r="AM2" s="62">
        <f>_xlfn.DAYS(AL2,AK2)</f>
        <v>0</v>
      </c>
      <c r="AN2" s="42"/>
      <c r="AO2" s="42"/>
      <c r="AP2" s="42"/>
      <c r="AQ2" s="42" t="s">
        <v>26</v>
      </c>
      <c r="AR2" s="42"/>
      <c r="AS2" s="43" t="s">
        <v>346</v>
      </c>
    </row>
    <row r="3" spans="1:46" ht="15.6" customHeight="1" thickTop="1" thickBot="1" x14ac:dyDescent="0.35">
      <c r="A3" s="34" t="s">
        <v>27</v>
      </c>
      <c r="B3" s="35" t="s">
        <v>28</v>
      </c>
      <c r="C3" s="52">
        <v>21450</v>
      </c>
      <c r="D3" s="66"/>
      <c r="E3" s="66"/>
      <c r="F3" s="68"/>
      <c r="G3" s="66"/>
      <c r="H3" s="68"/>
      <c r="I3" s="66"/>
      <c r="J3" s="68"/>
      <c r="K3" s="36">
        <v>1</v>
      </c>
      <c r="L3" s="37" t="s">
        <v>29</v>
      </c>
      <c r="M3" s="37" t="s">
        <v>30</v>
      </c>
      <c r="N3" s="37" t="s">
        <v>31</v>
      </c>
      <c r="O3" s="37" t="s">
        <v>31</v>
      </c>
      <c r="P3" s="38" t="s">
        <v>32</v>
      </c>
      <c r="Q3" s="38"/>
      <c r="R3" s="38"/>
      <c r="S3" s="38" t="s">
        <v>23</v>
      </c>
      <c r="T3" s="38"/>
      <c r="U3" s="38"/>
      <c r="V3" s="38"/>
      <c r="W3" s="38"/>
      <c r="X3" s="38"/>
      <c r="Y3" s="38"/>
      <c r="Z3" s="38"/>
      <c r="AA3" s="38" t="s">
        <v>33</v>
      </c>
      <c r="AB3" s="38"/>
      <c r="AC3" s="38" t="s">
        <v>33</v>
      </c>
      <c r="AD3" s="38" t="s">
        <v>34</v>
      </c>
      <c r="AE3" s="38" t="s">
        <v>370</v>
      </c>
      <c r="AF3" s="38"/>
      <c r="AG3" s="38" t="s">
        <v>333</v>
      </c>
      <c r="AH3" s="39">
        <v>46254</v>
      </c>
      <c r="AI3" s="39">
        <v>46251</v>
      </c>
      <c r="AJ3" s="39">
        <f>AI3+35</f>
        <v>46286</v>
      </c>
      <c r="AK3" s="38"/>
      <c r="AL3" s="57"/>
      <c r="AM3" s="62">
        <f t="shared" ref="AM3:AM65" si="0">_xlfn.DAYS(AL3,AK3)</f>
        <v>0</v>
      </c>
      <c r="AN3" s="38"/>
      <c r="AO3" s="38"/>
      <c r="AP3" s="38"/>
      <c r="AQ3" s="38" t="s">
        <v>35</v>
      </c>
      <c r="AR3" s="38"/>
      <c r="AS3" s="40" t="s">
        <v>347</v>
      </c>
    </row>
    <row r="4" spans="1:46" ht="15.6" customHeight="1" thickTop="1" thickBot="1" x14ac:dyDescent="0.35">
      <c r="A4" s="24" t="s">
        <v>36</v>
      </c>
      <c r="B4" s="8" t="s">
        <v>37</v>
      </c>
      <c r="C4" s="52">
        <v>18700</v>
      </c>
      <c r="D4" s="66"/>
      <c r="E4" s="66"/>
      <c r="F4" s="66"/>
      <c r="G4" s="66"/>
      <c r="H4" s="66"/>
      <c r="I4" s="66"/>
      <c r="J4" s="66"/>
      <c r="K4" s="9">
        <v>1</v>
      </c>
      <c r="L4" s="10" t="s">
        <v>38</v>
      </c>
      <c r="M4" s="10" t="s">
        <v>39</v>
      </c>
      <c r="N4" s="10" t="s">
        <v>40</v>
      </c>
      <c r="O4" s="10" t="s">
        <v>41</v>
      </c>
      <c r="P4" s="11" t="s">
        <v>32</v>
      </c>
      <c r="Q4" s="11"/>
      <c r="R4" s="11"/>
      <c r="S4" s="11" t="s">
        <v>23</v>
      </c>
      <c r="T4" s="11"/>
      <c r="U4" s="11"/>
      <c r="V4" s="11"/>
      <c r="W4" s="11"/>
      <c r="X4" s="11"/>
      <c r="Y4" s="11"/>
      <c r="Z4" s="11"/>
      <c r="AA4" s="11" t="s">
        <v>194</v>
      </c>
      <c r="AB4" s="11"/>
      <c r="AC4" s="11" t="s">
        <v>33</v>
      </c>
      <c r="AD4" s="11" t="s">
        <v>33</v>
      </c>
      <c r="AE4" s="11"/>
      <c r="AF4" s="11"/>
      <c r="AG4" s="11" t="s">
        <v>333</v>
      </c>
      <c r="AH4" s="11" t="s">
        <v>42</v>
      </c>
      <c r="AI4" s="11" t="s">
        <v>42</v>
      </c>
      <c r="AJ4" s="11" t="s">
        <v>42</v>
      </c>
      <c r="AK4" s="11"/>
      <c r="AL4" s="45"/>
      <c r="AM4" s="62">
        <f t="shared" si="0"/>
        <v>0</v>
      </c>
      <c r="AN4" s="11"/>
      <c r="AO4" s="11"/>
      <c r="AP4" s="11"/>
      <c r="AQ4" s="11" t="s">
        <v>43</v>
      </c>
      <c r="AR4" s="11"/>
      <c r="AS4" s="25" t="s">
        <v>348</v>
      </c>
    </row>
    <row r="5" spans="1:46" ht="15.6" customHeight="1" thickTop="1" thickBot="1" x14ac:dyDescent="0.35">
      <c r="A5" s="24" t="s">
        <v>45</v>
      </c>
      <c r="B5" s="8" t="s">
        <v>37</v>
      </c>
      <c r="C5" s="52">
        <v>18700</v>
      </c>
      <c r="D5" s="66"/>
      <c r="E5" s="66"/>
      <c r="F5" s="66"/>
      <c r="G5" s="66"/>
      <c r="H5" s="66"/>
      <c r="I5" s="66"/>
      <c r="J5" s="66"/>
      <c r="K5" s="9">
        <v>1</v>
      </c>
      <c r="L5" s="10" t="s">
        <v>38</v>
      </c>
      <c r="M5" s="10" t="s">
        <v>39</v>
      </c>
      <c r="N5" s="10" t="s">
        <v>40</v>
      </c>
      <c r="O5" s="10" t="s">
        <v>41</v>
      </c>
      <c r="P5" s="11" t="s">
        <v>32</v>
      </c>
      <c r="Q5" s="11"/>
      <c r="R5" s="11"/>
      <c r="S5" s="11" t="s">
        <v>23</v>
      </c>
      <c r="T5" s="11"/>
      <c r="U5" s="11"/>
      <c r="V5" s="11"/>
      <c r="W5" s="11"/>
      <c r="X5" s="11"/>
      <c r="Y5" s="11"/>
      <c r="Z5" s="11"/>
      <c r="AA5" s="11" t="s">
        <v>194</v>
      </c>
      <c r="AB5" s="11"/>
      <c r="AC5" s="11" t="s">
        <v>33</v>
      </c>
      <c r="AD5" s="11" t="s">
        <v>33</v>
      </c>
      <c r="AE5" s="11"/>
      <c r="AF5" s="11"/>
      <c r="AG5" s="11" t="s">
        <v>333</v>
      </c>
      <c r="AH5" s="11" t="s">
        <v>42</v>
      </c>
      <c r="AI5" s="11" t="s">
        <v>42</v>
      </c>
      <c r="AJ5" s="11" t="s">
        <v>42</v>
      </c>
      <c r="AK5" s="11"/>
      <c r="AL5" s="45"/>
      <c r="AM5" s="62">
        <f t="shared" si="0"/>
        <v>0</v>
      </c>
      <c r="AN5" s="11"/>
      <c r="AO5" s="11"/>
      <c r="AP5" s="11"/>
      <c r="AQ5" s="11" t="s">
        <v>43</v>
      </c>
      <c r="AR5" s="11"/>
      <c r="AS5" s="25" t="s">
        <v>348</v>
      </c>
    </row>
    <row r="6" spans="1:46" ht="15.6" customHeight="1" thickTop="1" thickBot="1" x14ac:dyDescent="0.35">
      <c r="A6" s="26" t="s">
        <v>46</v>
      </c>
      <c r="B6" s="13" t="s">
        <v>47</v>
      </c>
      <c r="C6" s="52"/>
      <c r="D6" s="67"/>
      <c r="E6" s="67"/>
      <c r="F6" s="67"/>
      <c r="G6" s="67"/>
      <c r="H6" s="67"/>
      <c r="I6" s="67"/>
      <c r="J6" s="67"/>
      <c r="K6" s="9">
        <v>1</v>
      </c>
      <c r="L6" s="14" t="s">
        <v>48</v>
      </c>
      <c r="M6" s="14" t="s">
        <v>49</v>
      </c>
      <c r="N6" s="14" t="s">
        <v>50</v>
      </c>
      <c r="O6" s="14" t="s">
        <v>51</v>
      </c>
      <c r="P6" s="9" t="s">
        <v>52</v>
      </c>
      <c r="Q6" s="9"/>
      <c r="R6" s="9"/>
      <c r="S6" s="11" t="s">
        <v>23</v>
      </c>
      <c r="T6" s="11"/>
      <c r="U6" s="11"/>
      <c r="V6" s="11"/>
      <c r="W6" s="11"/>
      <c r="X6" s="11"/>
      <c r="Y6" s="11"/>
      <c r="Z6" s="11"/>
      <c r="AA6" s="9" t="s">
        <v>53</v>
      </c>
      <c r="AB6" s="9"/>
      <c r="AC6" s="9" t="s">
        <v>54</v>
      </c>
      <c r="AD6" s="9" t="s">
        <v>55</v>
      </c>
      <c r="AE6" s="9" t="s">
        <v>370</v>
      </c>
      <c r="AF6" s="9"/>
      <c r="AG6" s="11" t="s">
        <v>351</v>
      </c>
      <c r="AH6" s="15">
        <v>46181</v>
      </c>
      <c r="AI6" s="12">
        <v>46224</v>
      </c>
      <c r="AJ6" s="12">
        <f>AI6+10</f>
        <v>46234</v>
      </c>
      <c r="AK6" s="12">
        <v>46232</v>
      </c>
      <c r="AL6" s="45" t="s">
        <v>360</v>
      </c>
      <c r="AM6" s="61">
        <f t="shared" si="0"/>
        <v>5</v>
      </c>
      <c r="AN6" s="12">
        <v>45940</v>
      </c>
      <c r="AO6" s="12">
        <v>45943</v>
      </c>
      <c r="AP6" s="21">
        <v>45938</v>
      </c>
      <c r="AQ6" s="11" t="s">
        <v>43</v>
      </c>
      <c r="AR6" s="12">
        <v>45943</v>
      </c>
      <c r="AS6" s="25" t="s">
        <v>349</v>
      </c>
    </row>
    <row r="7" spans="1:46" ht="15.6" customHeight="1" thickTop="1" thickBot="1" x14ac:dyDescent="0.35">
      <c r="A7" s="26" t="s">
        <v>56</v>
      </c>
      <c r="B7" s="13" t="s">
        <v>57</v>
      </c>
      <c r="C7" s="52" t="s">
        <v>344</v>
      </c>
      <c r="D7" s="67"/>
      <c r="E7" s="67"/>
      <c r="F7" s="67"/>
      <c r="G7" s="67"/>
      <c r="H7" s="67"/>
      <c r="I7" s="67"/>
      <c r="J7" s="67"/>
      <c r="K7" s="9">
        <v>1</v>
      </c>
      <c r="L7" s="16" t="s">
        <v>58</v>
      </c>
      <c r="M7" s="14" t="s">
        <v>59</v>
      </c>
      <c r="N7" s="14" t="s">
        <v>60</v>
      </c>
      <c r="O7" s="14" t="s">
        <v>61</v>
      </c>
      <c r="P7" s="9" t="s">
        <v>62</v>
      </c>
      <c r="Q7" s="9" t="s">
        <v>329</v>
      </c>
      <c r="R7" s="9" t="s">
        <v>329</v>
      </c>
      <c r="S7" s="9" t="s">
        <v>63</v>
      </c>
      <c r="T7" s="9"/>
      <c r="U7" s="9"/>
      <c r="V7" s="9"/>
      <c r="W7" s="11" t="s">
        <v>3</v>
      </c>
      <c r="X7" s="9"/>
      <c r="Y7" s="9"/>
      <c r="Z7" s="9"/>
      <c r="AA7" s="11" t="s">
        <v>3</v>
      </c>
      <c r="AB7" s="11"/>
      <c r="AC7" s="11" t="s">
        <v>3</v>
      </c>
      <c r="AD7" s="11" t="s">
        <v>3</v>
      </c>
      <c r="AE7" s="11"/>
      <c r="AF7" s="11"/>
      <c r="AG7" s="9"/>
      <c r="AH7" s="11" t="s">
        <v>3</v>
      </c>
      <c r="AI7" s="11" t="s">
        <v>3</v>
      </c>
      <c r="AJ7" s="11" t="s">
        <v>3</v>
      </c>
      <c r="AK7" s="11" t="s">
        <v>3</v>
      </c>
      <c r="AL7" s="45" t="s">
        <v>3</v>
      </c>
      <c r="AM7" s="62">
        <v>0</v>
      </c>
      <c r="AN7" s="11"/>
      <c r="AO7" s="9"/>
      <c r="AP7" s="9"/>
      <c r="AQ7" s="11" t="s">
        <v>3</v>
      </c>
      <c r="AR7" s="9"/>
      <c r="AS7" s="25"/>
    </row>
    <row r="8" spans="1:46" ht="15.6" customHeight="1" thickTop="1" thickBot="1" x14ac:dyDescent="0.35">
      <c r="A8" s="26" t="s">
        <v>64</v>
      </c>
      <c r="B8" s="13" t="s">
        <v>65</v>
      </c>
      <c r="C8" s="52"/>
      <c r="D8" s="67"/>
      <c r="E8" s="67"/>
      <c r="F8" s="67"/>
      <c r="G8" s="67"/>
      <c r="H8" s="67"/>
      <c r="I8" s="67"/>
      <c r="J8" s="67"/>
      <c r="K8" s="9">
        <v>1</v>
      </c>
      <c r="L8" s="16" t="s">
        <v>66</v>
      </c>
      <c r="M8" s="14" t="s">
        <v>67</v>
      </c>
      <c r="N8" s="14" t="s">
        <v>68</v>
      </c>
      <c r="O8" s="14" t="s">
        <v>69</v>
      </c>
      <c r="P8" s="9" t="s">
        <v>62</v>
      </c>
      <c r="Q8" s="9" t="s">
        <v>329</v>
      </c>
      <c r="R8" s="9" t="s">
        <v>329</v>
      </c>
      <c r="S8" s="9" t="s">
        <v>63</v>
      </c>
      <c r="T8" s="9"/>
      <c r="U8" s="9"/>
      <c r="V8" s="9"/>
      <c r="W8" s="11" t="s">
        <v>3</v>
      </c>
      <c r="X8" s="9"/>
      <c r="Y8" s="9"/>
      <c r="Z8" s="9"/>
      <c r="AA8" s="11" t="s">
        <v>3</v>
      </c>
      <c r="AB8" s="11"/>
      <c r="AC8" s="11" t="s">
        <v>3</v>
      </c>
      <c r="AD8" s="11" t="s">
        <v>3</v>
      </c>
      <c r="AE8" s="11"/>
      <c r="AF8" s="11"/>
      <c r="AG8" s="9"/>
      <c r="AH8" s="11" t="s">
        <v>3</v>
      </c>
      <c r="AI8" s="11" t="s">
        <v>3</v>
      </c>
      <c r="AJ8" s="11" t="s">
        <v>3</v>
      </c>
      <c r="AK8" s="11" t="s">
        <v>3</v>
      </c>
      <c r="AL8" s="45" t="s">
        <v>3</v>
      </c>
      <c r="AM8" s="62">
        <v>0</v>
      </c>
      <c r="AN8" s="11"/>
      <c r="AO8" s="9"/>
      <c r="AP8" s="9"/>
      <c r="AQ8" s="11" t="s">
        <v>3</v>
      </c>
      <c r="AR8" s="9"/>
      <c r="AS8" s="25"/>
    </row>
    <row r="9" spans="1:46" ht="15.6" customHeight="1" thickTop="1" thickBot="1" x14ac:dyDescent="0.35">
      <c r="A9" s="26" t="s">
        <v>70</v>
      </c>
      <c r="B9" s="13" t="s">
        <v>65</v>
      </c>
      <c r="C9" s="52"/>
      <c r="D9" s="67"/>
      <c r="E9" s="67"/>
      <c r="F9" s="67"/>
      <c r="G9" s="67"/>
      <c r="H9" s="67"/>
      <c r="I9" s="67"/>
      <c r="J9" s="67"/>
      <c r="K9" s="9">
        <v>1</v>
      </c>
      <c r="L9" s="16" t="s">
        <v>66</v>
      </c>
      <c r="M9" s="14" t="s">
        <v>67</v>
      </c>
      <c r="N9" s="14" t="s">
        <v>68</v>
      </c>
      <c r="O9" s="14" t="s">
        <v>69</v>
      </c>
      <c r="P9" s="9" t="s">
        <v>62</v>
      </c>
      <c r="Q9" s="9" t="s">
        <v>329</v>
      </c>
      <c r="R9" s="9" t="s">
        <v>329</v>
      </c>
      <c r="S9" s="9" t="s">
        <v>63</v>
      </c>
      <c r="T9" s="9"/>
      <c r="U9" s="9"/>
      <c r="V9" s="9"/>
      <c r="W9" s="11" t="s">
        <v>3</v>
      </c>
      <c r="X9" s="9"/>
      <c r="Y9" s="9"/>
      <c r="Z9" s="9"/>
      <c r="AA9" s="11" t="s">
        <v>3</v>
      </c>
      <c r="AB9" s="11"/>
      <c r="AC9" s="11" t="s">
        <v>3</v>
      </c>
      <c r="AD9" s="11" t="s">
        <v>3</v>
      </c>
      <c r="AE9" s="11"/>
      <c r="AF9" s="11"/>
      <c r="AG9" s="9"/>
      <c r="AH9" s="11" t="s">
        <v>3</v>
      </c>
      <c r="AI9" s="11" t="s">
        <v>3</v>
      </c>
      <c r="AJ9" s="11" t="s">
        <v>3</v>
      </c>
      <c r="AK9" s="11" t="s">
        <v>3</v>
      </c>
      <c r="AL9" s="45" t="s">
        <v>3</v>
      </c>
      <c r="AM9" s="62">
        <v>0</v>
      </c>
      <c r="AN9" s="11"/>
      <c r="AO9" s="9"/>
      <c r="AP9" s="9"/>
      <c r="AQ9" s="11" t="s">
        <v>3</v>
      </c>
      <c r="AR9" s="9"/>
      <c r="AS9" s="25"/>
    </row>
    <row r="10" spans="1:46" ht="15.6" customHeight="1" thickTop="1" thickBot="1" x14ac:dyDescent="0.35">
      <c r="A10" s="26" t="s">
        <v>71</v>
      </c>
      <c r="B10" s="13" t="s">
        <v>72</v>
      </c>
      <c r="C10" s="52">
        <v>29700</v>
      </c>
      <c r="D10" s="67"/>
      <c r="E10" s="67"/>
      <c r="F10" s="67"/>
      <c r="G10" s="67"/>
      <c r="H10" s="67"/>
      <c r="I10" s="67"/>
      <c r="J10" s="67"/>
      <c r="K10" s="9">
        <v>1</v>
      </c>
      <c r="L10" s="16" t="s">
        <v>73</v>
      </c>
      <c r="M10" s="14" t="s">
        <v>74</v>
      </c>
      <c r="N10" s="14" t="s">
        <v>75</v>
      </c>
      <c r="O10" s="14" t="s">
        <v>76</v>
      </c>
      <c r="P10" s="9" t="s">
        <v>32</v>
      </c>
      <c r="Q10" s="9"/>
      <c r="R10" s="9"/>
      <c r="S10" s="11" t="s">
        <v>23</v>
      </c>
      <c r="T10" s="11"/>
      <c r="U10" s="11"/>
      <c r="V10" s="11"/>
      <c r="W10" s="11"/>
      <c r="X10" s="11"/>
      <c r="Y10" s="11"/>
      <c r="Z10" s="11"/>
      <c r="AA10" s="11" t="s">
        <v>33</v>
      </c>
      <c r="AB10" s="11"/>
      <c r="AC10" s="11" t="s">
        <v>33</v>
      </c>
      <c r="AD10" s="11" t="s">
        <v>33</v>
      </c>
      <c r="AE10" s="11"/>
      <c r="AF10" s="11"/>
      <c r="AG10" s="11" t="s">
        <v>336</v>
      </c>
      <c r="AH10" s="11" t="s">
        <v>33</v>
      </c>
      <c r="AI10" s="11" t="s">
        <v>33</v>
      </c>
      <c r="AJ10" s="11" t="s">
        <v>33</v>
      </c>
      <c r="AK10" s="11"/>
      <c r="AL10" s="45"/>
      <c r="AM10" s="62">
        <f t="shared" si="0"/>
        <v>0</v>
      </c>
      <c r="AN10" s="11"/>
      <c r="AO10" s="11"/>
      <c r="AP10" s="11"/>
      <c r="AQ10" s="11" t="s">
        <v>35</v>
      </c>
      <c r="AR10" s="11"/>
      <c r="AS10" s="25" t="s">
        <v>77</v>
      </c>
    </row>
    <row r="11" spans="1:46" ht="15.6" customHeight="1" thickTop="1" thickBot="1" x14ac:dyDescent="0.35">
      <c r="A11" s="26" t="s">
        <v>78</v>
      </c>
      <c r="B11" s="13" t="s">
        <v>72</v>
      </c>
      <c r="C11" s="52">
        <v>29700</v>
      </c>
      <c r="D11" s="67"/>
      <c r="E11" s="67"/>
      <c r="F11" s="67"/>
      <c r="G11" s="67"/>
      <c r="H11" s="67"/>
      <c r="I11" s="67"/>
      <c r="J11" s="67"/>
      <c r="K11" s="9">
        <v>1</v>
      </c>
      <c r="L11" s="16" t="s">
        <v>73</v>
      </c>
      <c r="M11" s="14" t="s">
        <v>74</v>
      </c>
      <c r="N11" s="14" t="s">
        <v>75</v>
      </c>
      <c r="O11" s="14" t="s">
        <v>76</v>
      </c>
      <c r="P11" s="9" t="s">
        <v>32</v>
      </c>
      <c r="Q11" s="9"/>
      <c r="R11" s="9"/>
      <c r="S11" s="11" t="s">
        <v>23</v>
      </c>
      <c r="T11" s="11"/>
      <c r="U11" s="11"/>
      <c r="V11" s="11"/>
      <c r="W11" s="11"/>
      <c r="X11" s="11"/>
      <c r="Y11" s="11"/>
      <c r="Z11" s="11"/>
      <c r="AA11" s="11" t="s">
        <v>33</v>
      </c>
      <c r="AB11" s="11"/>
      <c r="AC11" s="11" t="s">
        <v>33</v>
      </c>
      <c r="AD11" s="11" t="s">
        <v>33</v>
      </c>
      <c r="AE11" s="11"/>
      <c r="AF11" s="11"/>
      <c r="AG11" s="11" t="s">
        <v>336</v>
      </c>
      <c r="AH11" s="11" t="s">
        <v>33</v>
      </c>
      <c r="AI11" s="11" t="s">
        <v>33</v>
      </c>
      <c r="AJ11" s="11" t="s">
        <v>33</v>
      </c>
      <c r="AK11" s="11"/>
      <c r="AL11" s="45"/>
      <c r="AM11" s="62">
        <f t="shared" si="0"/>
        <v>0</v>
      </c>
      <c r="AN11" s="11"/>
      <c r="AO11" s="11"/>
      <c r="AP11" s="11"/>
      <c r="AQ11" s="11" t="s">
        <v>35</v>
      </c>
      <c r="AR11" s="11"/>
      <c r="AS11" s="25" t="s">
        <v>77</v>
      </c>
    </row>
    <row r="12" spans="1:46" ht="15.6" customHeight="1" thickTop="1" thickBot="1" x14ac:dyDescent="0.35">
      <c r="A12" s="26" t="s">
        <v>79</v>
      </c>
      <c r="B12" s="13" t="s">
        <v>80</v>
      </c>
      <c r="C12" s="52">
        <v>17600</v>
      </c>
      <c r="D12" s="67"/>
      <c r="E12" s="67"/>
      <c r="F12" s="67"/>
      <c r="G12" s="67"/>
      <c r="H12" s="67"/>
      <c r="I12" s="67"/>
      <c r="J12" s="67"/>
      <c r="K12" s="9">
        <v>1</v>
      </c>
      <c r="L12" s="14" t="s">
        <v>81</v>
      </c>
      <c r="M12" s="14" t="s">
        <v>82</v>
      </c>
      <c r="N12" s="14" t="s">
        <v>75</v>
      </c>
      <c r="O12" s="14" t="s">
        <v>76</v>
      </c>
      <c r="P12" s="9" t="s">
        <v>32</v>
      </c>
      <c r="Q12" s="9"/>
      <c r="R12" s="9"/>
      <c r="S12" s="11" t="s">
        <v>23</v>
      </c>
      <c r="T12" s="11"/>
      <c r="U12" s="11"/>
      <c r="V12" s="11"/>
      <c r="W12" s="11"/>
      <c r="X12" s="11"/>
      <c r="Y12" s="11"/>
      <c r="Z12" s="11"/>
      <c r="AA12" s="11" t="s">
        <v>177</v>
      </c>
      <c r="AB12" s="11" t="s">
        <v>288</v>
      </c>
      <c r="AC12" s="11" t="s">
        <v>177</v>
      </c>
      <c r="AD12" s="11" t="s">
        <v>34</v>
      </c>
      <c r="AE12" s="11" t="s">
        <v>370</v>
      </c>
      <c r="AF12" s="11"/>
      <c r="AG12" s="11" t="s">
        <v>333</v>
      </c>
      <c r="AH12" s="12">
        <v>46244</v>
      </c>
      <c r="AI12" s="12">
        <v>46251</v>
      </c>
      <c r="AJ12" s="12">
        <f>AI12+30</f>
        <v>46281</v>
      </c>
      <c r="AK12" s="12">
        <v>46245</v>
      </c>
      <c r="AL12" s="45"/>
      <c r="AM12" s="62">
        <f t="shared" si="0"/>
        <v>-46245</v>
      </c>
      <c r="AN12" s="11"/>
      <c r="AO12" s="11"/>
      <c r="AP12" s="11"/>
      <c r="AQ12" s="11" t="s">
        <v>43</v>
      </c>
      <c r="AR12" s="11"/>
      <c r="AS12" s="25" t="s">
        <v>352</v>
      </c>
    </row>
    <row r="13" spans="1:46" ht="15.6" customHeight="1" thickTop="1" thickBot="1" x14ac:dyDescent="0.35">
      <c r="A13" s="26" t="s">
        <v>83</v>
      </c>
      <c r="B13" s="13" t="s">
        <v>80</v>
      </c>
      <c r="C13" s="52">
        <v>17600</v>
      </c>
      <c r="D13" s="67"/>
      <c r="E13" s="67"/>
      <c r="F13" s="67"/>
      <c r="G13" s="67"/>
      <c r="H13" s="67"/>
      <c r="I13" s="67"/>
      <c r="J13" s="67"/>
      <c r="K13" s="9">
        <v>1</v>
      </c>
      <c r="L13" s="14" t="s">
        <v>81</v>
      </c>
      <c r="M13" s="14" t="s">
        <v>82</v>
      </c>
      <c r="N13" s="14" t="s">
        <v>75</v>
      </c>
      <c r="O13" s="14" t="s">
        <v>76</v>
      </c>
      <c r="P13" s="9" t="s">
        <v>32</v>
      </c>
      <c r="Q13" s="9"/>
      <c r="R13" s="9"/>
      <c r="S13" s="11" t="s">
        <v>23</v>
      </c>
      <c r="T13" s="11"/>
      <c r="U13" s="11"/>
      <c r="V13" s="11"/>
      <c r="W13" s="11"/>
      <c r="X13" s="11"/>
      <c r="Y13" s="11"/>
      <c r="Z13" s="11"/>
      <c r="AA13" s="11" t="s">
        <v>177</v>
      </c>
      <c r="AB13" s="11" t="s">
        <v>288</v>
      </c>
      <c r="AC13" s="11" t="s">
        <v>177</v>
      </c>
      <c r="AD13" s="11" t="s">
        <v>34</v>
      </c>
      <c r="AE13" s="11" t="s">
        <v>370</v>
      </c>
      <c r="AF13" s="11"/>
      <c r="AG13" s="11" t="s">
        <v>333</v>
      </c>
      <c r="AH13" s="12">
        <v>46244</v>
      </c>
      <c r="AI13" s="12">
        <v>46281</v>
      </c>
      <c r="AJ13" s="12">
        <f>AI13+30</f>
        <v>46311</v>
      </c>
      <c r="AK13" s="12">
        <v>46245</v>
      </c>
      <c r="AL13" s="45"/>
      <c r="AM13" s="62">
        <f t="shared" si="0"/>
        <v>-46245</v>
      </c>
      <c r="AN13" s="11"/>
      <c r="AO13" s="11"/>
      <c r="AP13" s="11"/>
      <c r="AQ13" s="11" t="s">
        <v>43</v>
      </c>
      <c r="AR13" s="11"/>
      <c r="AS13" s="25" t="s">
        <v>352</v>
      </c>
    </row>
    <row r="14" spans="1:46" ht="15.6" customHeight="1" thickTop="1" thickBot="1" x14ac:dyDescent="0.35">
      <c r="A14" s="26" t="s">
        <v>84</v>
      </c>
      <c r="B14" s="13" t="s">
        <v>85</v>
      </c>
      <c r="C14" s="52">
        <v>21450</v>
      </c>
      <c r="D14" s="67"/>
      <c r="E14" s="67"/>
      <c r="F14" s="67"/>
      <c r="G14" s="67"/>
      <c r="H14" s="67"/>
      <c r="I14" s="67"/>
      <c r="J14" s="67"/>
      <c r="K14" s="9">
        <v>1</v>
      </c>
      <c r="L14" s="16" t="s">
        <v>86</v>
      </c>
      <c r="M14" s="10" t="s">
        <v>87</v>
      </c>
      <c r="N14" s="10" t="s">
        <v>88</v>
      </c>
      <c r="O14" s="10" t="s">
        <v>76</v>
      </c>
      <c r="P14" s="11" t="s">
        <v>32</v>
      </c>
      <c r="Q14" s="11"/>
      <c r="R14" s="11"/>
      <c r="S14" s="11" t="s">
        <v>23</v>
      </c>
      <c r="T14" s="11"/>
      <c r="U14" s="11"/>
      <c r="V14" s="11"/>
      <c r="W14" s="11"/>
      <c r="X14" s="11"/>
      <c r="Y14" s="11"/>
      <c r="Z14" s="11"/>
      <c r="AA14" s="11" t="s">
        <v>33</v>
      </c>
      <c r="AB14" s="11" t="s">
        <v>283</v>
      </c>
      <c r="AC14" s="11" t="s">
        <v>33</v>
      </c>
      <c r="AD14" s="11" t="s">
        <v>89</v>
      </c>
      <c r="AE14" s="11" t="s">
        <v>370</v>
      </c>
      <c r="AF14" s="11"/>
      <c r="AG14" s="11" t="s">
        <v>333</v>
      </c>
      <c r="AH14" s="12">
        <v>46249</v>
      </c>
      <c r="AI14" s="12">
        <v>46259</v>
      </c>
      <c r="AJ14" s="12">
        <f>AI14+30</f>
        <v>46289</v>
      </c>
      <c r="AK14" s="11"/>
      <c r="AL14" s="45"/>
      <c r="AM14" s="62">
        <f t="shared" si="0"/>
        <v>0</v>
      </c>
      <c r="AN14" s="11"/>
      <c r="AO14" s="11"/>
      <c r="AP14" s="11"/>
      <c r="AQ14" s="11" t="s">
        <v>43</v>
      </c>
      <c r="AR14" s="12">
        <v>46204</v>
      </c>
      <c r="AS14" s="25"/>
    </row>
    <row r="15" spans="1:46" ht="15.6" customHeight="1" thickTop="1" thickBot="1" x14ac:dyDescent="0.35">
      <c r="A15" s="26" t="s">
        <v>90</v>
      </c>
      <c r="B15" s="13" t="s">
        <v>85</v>
      </c>
      <c r="C15" s="52">
        <v>21450</v>
      </c>
      <c r="D15" s="67"/>
      <c r="E15" s="67"/>
      <c r="F15" s="67"/>
      <c r="G15" s="67"/>
      <c r="H15" s="67"/>
      <c r="I15" s="67"/>
      <c r="J15" s="67"/>
      <c r="K15" s="9">
        <v>1</v>
      </c>
      <c r="L15" s="16" t="s">
        <v>86</v>
      </c>
      <c r="M15" s="10" t="s">
        <v>87</v>
      </c>
      <c r="N15" s="10" t="s">
        <v>88</v>
      </c>
      <c r="O15" s="10" t="s">
        <v>76</v>
      </c>
      <c r="P15" s="11" t="s">
        <v>32</v>
      </c>
      <c r="Q15" s="11"/>
      <c r="R15" s="11"/>
      <c r="S15" s="11" t="s">
        <v>23</v>
      </c>
      <c r="T15" s="11"/>
      <c r="U15" s="11"/>
      <c r="V15" s="11"/>
      <c r="W15" s="11"/>
      <c r="X15" s="11"/>
      <c r="Y15" s="11"/>
      <c r="Z15" s="11"/>
      <c r="AA15" s="11" t="s">
        <v>33</v>
      </c>
      <c r="AB15" s="11" t="s">
        <v>283</v>
      </c>
      <c r="AC15" s="11" t="s">
        <v>33</v>
      </c>
      <c r="AD15" s="11" t="s">
        <v>89</v>
      </c>
      <c r="AE15" s="11" t="s">
        <v>370</v>
      </c>
      <c r="AF15" s="11"/>
      <c r="AG15" s="11" t="s">
        <v>333</v>
      </c>
      <c r="AH15" s="12">
        <v>46249</v>
      </c>
      <c r="AI15" s="12">
        <v>46259</v>
      </c>
      <c r="AJ15" s="12">
        <f>AI15+30</f>
        <v>46289</v>
      </c>
      <c r="AK15" s="11"/>
      <c r="AL15" s="45"/>
      <c r="AM15" s="62">
        <f t="shared" si="0"/>
        <v>0</v>
      </c>
      <c r="AN15" s="11"/>
      <c r="AO15" s="11"/>
      <c r="AP15" s="11"/>
      <c r="AQ15" s="11" t="s">
        <v>43</v>
      </c>
      <c r="AR15" s="12">
        <v>46204</v>
      </c>
      <c r="AS15" s="25"/>
    </row>
    <row r="16" spans="1:46" ht="15.6" customHeight="1" thickTop="1" thickBot="1" x14ac:dyDescent="0.35">
      <c r="A16" s="26" t="s">
        <v>91</v>
      </c>
      <c r="B16" s="13" t="s">
        <v>92</v>
      </c>
      <c r="C16" s="52"/>
      <c r="D16" s="67"/>
      <c r="E16" s="67"/>
      <c r="F16" s="67"/>
      <c r="G16" s="67"/>
      <c r="H16" s="67"/>
      <c r="I16" s="67"/>
      <c r="J16" s="67"/>
      <c r="K16" s="9">
        <v>1</v>
      </c>
      <c r="L16" s="16" t="s">
        <v>93</v>
      </c>
      <c r="M16" s="16" t="s">
        <v>94</v>
      </c>
      <c r="N16" s="16" t="s">
        <v>75</v>
      </c>
      <c r="O16" s="16" t="s">
        <v>76</v>
      </c>
      <c r="P16" s="17" t="s">
        <v>32</v>
      </c>
      <c r="Q16" s="17"/>
      <c r="R16" s="17"/>
      <c r="S16" s="11" t="s">
        <v>23</v>
      </c>
      <c r="T16" s="11"/>
      <c r="U16" s="11"/>
      <c r="V16" s="11"/>
      <c r="W16" s="11"/>
      <c r="X16" s="11"/>
      <c r="Y16" s="11"/>
      <c r="Z16" s="11"/>
      <c r="AA16" s="11" t="s">
        <v>33</v>
      </c>
      <c r="AB16" s="11"/>
      <c r="AC16" s="11" t="s">
        <v>33</v>
      </c>
      <c r="AD16" s="11" t="s">
        <v>33</v>
      </c>
      <c r="AE16" s="11"/>
      <c r="AF16" s="11"/>
      <c r="AG16" s="11"/>
      <c r="AH16" s="11" t="s">
        <v>33</v>
      </c>
      <c r="AI16" s="11" t="s">
        <v>33</v>
      </c>
      <c r="AJ16" s="11" t="s">
        <v>33</v>
      </c>
      <c r="AK16" s="11"/>
      <c r="AL16" s="45"/>
      <c r="AM16" s="62">
        <f t="shared" si="0"/>
        <v>0</v>
      </c>
      <c r="AN16" s="11"/>
      <c r="AO16" s="11"/>
      <c r="AP16" s="11"/>
      <c r="AQ16" s="11" t="s">
        <v>43</v>
      </c>
      <c r="AR16" s="11"/>
      <c r="AS16" s="25" t="s">
        <v>44</v>
      </c>
    </row>
    <row r="17" spans="1:45" ht="15.6" customHeight="1" thickTop="1" thickBot="1" x14ac:dyDescent="0.35">
      <c r="A17" s="26" t="s">
        <v>95</v>
      </c>
      <c r="B17" s="13" t="s">
        <v>92</v>
      </c>
      <c r="C17" s="52"/>
      <c r="D17" s="67"/>
      <c r="E17" s="67"/>
      <c r="F17" s="67"/>
      <c r="G17" s="67"/>
      <c r="H17" s="67"/>
      <c r="I17" s="67"/>
      <c r="J17" s="67"/>
      <c r="K17" s="9">
        <v>1</v>
      </c>
      <c r="L17" s="16" t="s">
        <v>93</v>
      </c>
      <c r="M17" s="16" t="s">
        <v>94</v>
      </c>
      <c r="N17" s="16" t="s">
        <v>75</v>
      </c>
      <c r="O17" s="16" t="s">
        <v>76</v>
      </c>
      <c r="P17" s="17" t="s">
        <v>32</v>
      </c>
      <c r="Q17" s="17"/>
      <c r="R17" s="17"/>
      <c r="S17" s="11" t="s">
        <v>23</v>
      </c>
      <c r="T17" s="11"/>
      <c r="U17" s="11"/>
      <c r="V17" s="11"/>
      <c r="W17" s="11"/>
      <c r="X17" s="11"/>
      <c r="Y17" s="11"/>
      <c r="Z17" s="11"/>
      <c r="AA17" s="11" t="s">
        <v>33</v>
      </c>
      <c r="AB17" s="11"/>
      <c r="AC17" s="11" t="s">
        <v>33</v>
      </c>
      <c r="AD17" s="11" t="s">
        <v>33</v>
      </c>
      <c r="AE17" s="11"/>
      <c r="AF17" s="11"/>
      <c r="AG17" s="11"/>
      <c r="AH17" s="11" t="s">
        <v>33</v>
      </c>
      <c r="AI17" s="11" t="s">
        <v>33</v>
      </c>
      <c r="AJ17" s="11" t="s">
        <v>33</v>
      </c>
      <c r="AK17" s="11"/>
      <c r="AL17" s="45"/>
      <c r="AM17" s="62">
        <f t="shared" si="0"/>
        <v>0</v>
      </c>
      <c r="AN17" s="11"/>
      <c r="AO17" s="11"/>
      <c r="AP17" s="11"/>
      <c r="AQ17" s="11" t="s">
        <v>43</v>
      </c>
      <c r="AR17" s="11"/>
      <c r="AS17" s="25" t="s">
        <v>44</v>
      </c>
    </row>
    <row r="18" spans="1:45" ht="15.6" customHeight="1" thickTop="1" thickBot="1" x14ac:dyDescent="0.35">
      <c r="A18" s="26" t="s">
        <v>96</v>
      </c>
      <c r="B18" s="13" t="s">
        <v>97</v>
      </c>
      <c r="C18" s="52">
        <v>15400</v>
      </c>
      <c r="D18" s="68"/>
      <c r="E18" s="68"/>
      <c r="F18" s="68"/>
      <c r="G18" s="68"/>
      <c r="H18" s="68"/>
      <c r="I18" s="68"/>
      <c r="J18" s="68"/>
      <c r="K18" s="9">
        <v>1</v>
      </c>
      <c r="L18" s="16" t="s">
        <v>98</v>
      </c>
      <c r="M18" s="18" t="s">
        <v>99</v>
      </c>
      <c r="N18" s="18" t="s">
        <v>100</v>
      </c>
      <c r="O18" s="18" t="s">
        <v>101</v>
      </c>
      <c r="P18" s="19" t="s">
        <v>102</v>
      </c>
      <c r="Q18" s="19"/>
      <c r="R18" s="19"/>
      <c r="S18" s="11" t="s">
        <v>23</v>
      </c>
      <c r="T18" s="11"/>
      <c r="U18" s="11"/>
      <c r="V18" s="11"/>
      <c r="W18" s="11"/>
      <c r="X18" s="11"/>
      <c r="Y18" s="11"/>
      <c r="Z18" s="11"/>
      <c r="AA18" s="11" t="s">
        <v>103</v>
      </c>
      <c r="AB18" s="11" t="s">
        <v>288</v>
      </c>
      <c r="AC18" s="11" t="s">
        <v>104</v>
      </c>
      <c r="AD18" s="11" t="s">
        <v>105</v>
      </c>
      <c r="AE18" s="11" t="s">
        <v>371</v>
      </c>
      <c r="AF18" s="11"/>
      <c r="AG18" s="11" t="s">
        <v>334</v>
      </c>
      <c r="AH18" s="11" t="s">
        <v>33</v>
      </c>
      <c r="AI18" s="12">
        <v>46260</v>
      </c>
      <c r="AJ18" s="12">
        <v>46284</v>
      </c>
      <c r="AK18" s="11"/>
      <c r="AL18" s="45"/>
      <c r="AM18" s="62">
        <f t="shared" si="0"/>
        <v>0</v>
      </c>
      <c r="AN18" s="11"/>
      <c r="AO18" s="11"/>
      <c r="AP18" s="11"/>
      <c r="AQ18" s="11" t="s">
        <v>3</v>
      </c>
      <c r="AR18" s="12">
        <v>46238</v>
      </c>
      <c r="AS18" s="25" t="s">
        <v>107</v>
      </c>
    </row>
    <row r="19" spans="1:45" ht="15.6" customHeight="1" thickTop="1" thickBot="1" x14ac:dyDescent="0.35">
      <c r="A19" s="26" t="s">
        <v>108</v>
      </c>
      <c r="B19" s="13" t="s">
        <v>109</v>
      </c>
      <c r="C19" s="52">
        <v>55550</v>
      </c>
      <c r="D19" s="67"/>
      <c r="E19" s="67"/>
      <c r="F19" s="67"/>
      <c r="G19" s="67"/>
      <c r="H19" s="67"/>
      <c r="I19" s="67"/>
      <c r="J19" s="67"/>
      <c r="K19" s="9">
        <v>1</v>
      </c>
      <c r="L19" s="16" t="s">
        <v>98</v>
      </c>
      <c r="M19" s="18" t="s">
        <v>99</v>
      </c>
      <c r="N19" s="18" t="s">
        <v>100</v>
      </c>
      <c r="O19" s="18" t="s">
        <v>101</v>
      </c>
      <c r="P19" s="19" t="s">
        <v>102</v>
      </c>
      <c r="Q19" s="19"/>
      <c r="R19" s="19"/>
      <c r="S19" s="11" t="s">
        <v>23</v>
      </c>
      <c r="T19" s="11"/>
      <c r="U19" s="11"/>
      <c r="V19" s="11"/>
      <c r="W19" s="11"/>
      <c r="X19" s="11"/>
      <c r="Y19" s="11"/>
      <c r="Z19" s="11"/>
      <c r="AA19" s="11" t="s">
        <v>103</v>
      </c>
      <c r="AB19" s="11" t="s">
        <v>288</v>
      </c>
      <c r="AC19" s="11" t="s">
        <v>110</v>
      </c>
      <c r="AD19" s="11" t="s">
        <v>105</v>
      </c>
      <c r="AE19" s="11" t="s">
        <v>371</v>
      </c>
      <c r="AF19" s="11"/>
      <c r="AG19" s="11" t="s">
        <v>338</v>
      </c>
      <c r="AH19" s="11" t="s">
        <v>33</v>
      </c>
      <c r="AI19" s="12">
        <v>46260</v>
      </c>
      <c r="AJ19" s="12">
        <v>46299</v>
      </c>
      <c r="AK19" s="11"/>
      <c r="AL19" s="45"/>
      <c r="AM19" s="62">
        <f t="shared" si="0"/>
        <v>0</v>
      </c>
      <c r="AN19" s="11"/>
      <c r="AO19" s="11"/>
      <c r="AP19" s="11"/>
      <c r="AQ19" s="11" t="s">
        <v>3</v>
      </c>
      <c r="AR19" s="12">
        <v>46238</v>
      </c>
      <c r="AS19" s="25" t="s">
        <v>107</v>
      </c>
    </row>
    <row r="20" spans="1:45" ht="15.6" customHeight="1" thickTop="1" thickBot="1" x14ac:dyDescent="0.35">
      <c r="A20" s="26" t="s">
        <v>111</v>
      </c>
      <c r="B20" s="13" t="s">
        <v>112</v>
      </c>
      <c r="C20" s="52">
        <v>31900</v>
      </c>
      <c r="D20" s="67"/>
      <c r="E20" s="67"/>
      <c r="F20" s="67"/>
      <c r="G20" s="67"/>
      <c r="H20" s="67"/>
      <c r="I20" s="67"/>
      <c r="J20" s="67"/>
      <c r="K20" s="9">
        <v>1</v>
      </c>
      <c r="L20" s="16" t="s">
        <v>98</v>
      </c>
      <c r="M20" s="18" t="s">
        <v>99</v>
      </c>
      <c r="N20" s="18" t="s">
        <v>100</v>
      </c>
      <c r="O20" s="18" t="s">
        <v>101</v>
      </c>
      <c r="P20" s="19" t="s">
        <v>102</v>
      </c>
      <c r="Q20" s="19"/>
      <c r="R20" s="19"/>
      <c r="S20" s="11" t="s">
        <v>23</v>
      </c>
      <c r="T20" s="11"/>
      <c r="U20" s="11"/>
      <c r="V20" s="11"/>
      <c r="W20" s="11"/>
      <c r="X20" s="11"/>
      <c r="Y20" s="11"/>
      <c r="Z20" s="11"/>
      <c r="AA20" s="11" t="s">
        <v>103</v>
      </c>
      <c r="AB20" s="11" t="s">
        <v>288</v>
      </c>
      <c r="AC20" s="11" t="s">
        <v>34</v>
      </c>
      <c r="AD20" s="11" t="s">
        <v>105</v>
      </c>
      <c r="AE20" s="11" t="s">
        <v>371</v>
      </c>
      <c r="AF20" s="11"/>
      <c r="AG20" s="11" t="s">
        <v>337</v>
      </c>
      <c r="AH20" s="11" t="s">
        <v>33</v>
      </c>
      <c r="AI20" s="12">
        <v>46260</v>
      </c>
      <c r="AJ20" s="12">
        <v>46294</v>
      </c>
      <c r="AK20" s="11"/>
      <c r="AL20" s="45"/>
      <c r="AM20" s="62">
        <f t="shared" si="0"/>
        <v>0</v>
      </c>
      <c r="AN20" s="11"/>
      <c r="AO20" s="11"/>
      <c r="AP20" s="11"/>
      <c r="AQ20" s="11" t="s">
        <v>3</v>
      </c>
      <c r="AR20" s="12">
        <v>46238</v>
      </c>
      <c r="AS20" s="25" t="s">
        <v>107</v>
      </c>
    </row>
    <row r="21" spans="1:45" ht="15.6" customHeight="1" thickTop="1" thickBot="1" x14ac:dyDescent="0.35">
      <c r="A21" s="26" t="s">
        <v>113</v>
      </c>
      <c r="B21" s="13" t="s">
        <v>112</v>
      </c>
      <c r="C21" s="52">
        <v>31900</v>
      </c>
      <c r="D21" s="67"/>
      <c r="E21" s="67"/>
      <c r="F21" s="67"/>
      <c r="G21" s="67"/>
      <c r="H21" s="67"/>
      <c r="I21" s="67"/>
      <c r="J21" s="67"/>
      <c r="K21" s="9">
        <v>1</v>
      </c>
      <c r="L21" s="16" t="s">
        <v>98</v>
      </c>
      <c r="M21" s="18" t="s">
        <v>99</v>
      </c>
      <c r="N21" s="18" t="s">
        <v>100</v>
      </c>
      <c r="O21" s="18" t="s">
        <v>101</v>
      </c>
      <c r="P21" s="19" t="s">
        <v>102</v>
      </c>
      <c r="Q21" s="19"/>
      <c r="R21" s="19"/>
      <c r="S21" s="11" t="s">
        <v>23</v>
      </c>
      <c r="T21" s="11"/>
      <c r="U21" s="11"/>
      <c r="V21" s="11"/>
      <c r="W21" s="11"/>
      <c r="X21" s="11"/>
      <c r="Y21" s="11"/>
      <c r="Z21" s="11"/>
      <c r="AA21" s="11" t="s">
        <v>103</v>
      </c>
      <c r="AB21" s="11" t="s">
        <v>290</v>
      </c>
      <c r="AC21" s="11" t="s">
        <v>114</v>
      </c>
      <c r="AD21" s="11" t="s">
        <v>105</v>
      </c>
      <c r="AE21" s="11" t="s">
        <v>371</v>
      </c>
      <c r="AF21" s="11"/>
      <c r="AG21" s="11" t="s">
        <v>337</v>
      </c>
      <c r="AH21" s="11" t="s">
        <v>33</v>
      </c>
      <c r="AI21" s="12">
        <v>46260</v>
      </c>
      <c r="AJ21" s="12">
        <v>46294</v>
      </c>
      <c r="AK21" s="11"/>
      <c r="AL21" s="45"/>
      <c r="AM21" s="62">
        <f t="shared" si="0"/>
        <v>0</v>
      </c>
      <c r="AN21" s="11"/>
      <c r="AO21" s="11"/>
      <c r="AP21" s="11"/>
      <c r="AQ21" s="11" t="s">
        <v>3</v>
      </c>
      <c r="AR21" s="12">
        <v>46238</v>
      </c>
      <c r="AS21" s="25" t="s">
        <v>107</v>
      </c>
    </row>
    <row r="22" spans="1:45" ht="15.6" customHeight="1" thickTop="1" thickBot="1" x14ac:dyDescent="0.35">
      <c r="A22" s="26" t="s">
        <v>115</v>
      </c>
      <c r="B22" s="13" t="s">
        <v>112</v>
      </c>
      <c r="C22" s="52">
        <v>31900</v>
      </c>
      <c r="D22" s="67"/>
      <c r="E22" s="67"/>
      <c r="F22" s="67"/>
      <c r="G22" s="67"/>
      <c r="H22" s="67"/>
      <c r="I22" s="67"/>
      <c r="J22" s="67"/>
      <c r="K22" s="9">
        <v>1</v>
      </c>
      <c r="L22" s="16" t="s">
        <v>98</v>
      </c>
      <c r="M22" s="18" t="s">
        <v>99</v>
      </c>
      <c r="N22" s="18" t="s">
        <v>100</v>
      </c>
      <c r="O22" s="18" t="s">
        <v>101</v>
      </c>
      <c r="P22" s="19" t="s">
        <v>102</v>
      </c>
      <c r="Q22" s="19"/>
      <c r="R22" s="19"/>
      <c r="S22" s="11" t="s">
        <v>23</v>
      </c>
      <c r="T22" s="11"/>
      <c r="U22" s="11"/>
      <c r="V22" s="11"/>
      <c r="W22" s="11"/>
      <c r="X22" s="11"/>
      <c r="Y22" s="11"/>
      <c r="Z22" s="11"/>
      <c r="AA22" s="11" t="s">
        <v>33</v>
      </c>
      <c r="AB22" s="11"/>
      <c r="AC22" s="11" t="s">
        <v>33</v>
      </c>
      <c r="AD22" s="11" t="s">
        <v>33</v>
      </c>
      <c r="AE22" s="11"/>
      <c r="AF22" s="11"/>
      <c r="AG22" s="11" t="s">
        <v>337</v>
      </c>
      <c r="AH22" s="11" t="s">
        <v>33</v>
      </c>
      <c r="AI22" s="11" t="s">
        <v>33</v>
      </c>
      <c r="AJ22" s="11" t="s">
        <v>33</v>
      </c>
      <c r="AK22" s="11"/>
      <c r="AL22" s="45"/>
      <c r="AM22" s="62">
        <f t="shared" si="0"/>
        <v>0</v>
      </c>
      <c r="AN22" s="11"/>
      <c r="AO22" s="11"/>
      <c r="AP22" s="11"/>
      <c r="AQ22" s="11" t="s">
        <v>106</v>
      </c>
      <c r="AR22" s="12"/>
      <c r="AS22" s="25" t="s">
        <v>107</v>
      </c>
    </row>
    <row r="23" spans="1:45" ht="15.6" customHeight="1" thickTop="1" thickBot="1" x14ac:dyDescent="0.35">
      <c r="A23" s="26" t="s">
        <v>116</v>
      </c>
      <c r="B23" s="13" t="s">
        <v>117</v>
      </c>
      <c r="C23" s="52">
        <v>52800</v>
      </c>
      <c r="D23" s="67"/>
      <c r="E23" s="67"/>
      <c r="F23" s="67"/>
      <c r="G23" s="67"/>
      <c r="H23" s="67"/>
      <c r="I23" s="67"/>
      <c r="J23" s="67"/>
      <c r="K23" s="9">
        <v>1</v>
      </c>
      <c r="L23" s="16" t="s">
        <v>98</v>
      </c>
      <c r="M23" s="14" t="s">
        <v>99</v>
      </c>
      <c r="N23" s="18" t="s">
        <v>100</v>
      </c>
      <c r="O23" s="18" t="s">
        <v>101</v>
      </c>
      <c r="P23" s="19" t="s">
        <v>102</v>
      </c>
      <c r="Q23" s="19"/>
      <c r="R23" s="19"/>
      <c r="S23" s="11" t="s">
        <v>23</v>
      </c>
      <c r="T23" s="11"/>
      <c r="U23" s="11"/>
      <c r="V23" s="11"/>
      <c r="W23" s="11"/>
      <c r="X23" s="11"/>
      <c r="Y23" s="11"/>
      <c r="Z23" s="11"/>
      <c r="AA23" s="11" t="s">
        <v>33</v>
      </c>
      <c r="AB23" s="11"/>
      <c r="AC23" s="11" t="s">
        <v>33</v>
      </c>
      <c r="AD23" s="11" t="s">
        <v>33</v>
      </c>
      <c r="AE23" s="11"/>
      <c r="AF23" s="11"/>
      <c r="AG23" s="11" t="s">
        <v>335</v>
      </c>
      <c r="AH23" s="11" t="s">
        <v>33</v>
      </c>
      <c r="AI23" s="11" t="s">
        <v>33</v>
      </c>
      <c r="AJ23" s="11" t="s">
        <v>33</v>
      </c>
      <c r="AK23" s="11"/>
      <c r="AL23" s="45"/>
      <c r="AM23" s="62">
        <f t="shared" si="0"/>
        <v>0</v>
      </c>
      <c r="AN23" s="11"/>
      <c r="AO23" s="11"/>
      <c r="AP23" s="11"/>
      <c r="AQ23" s="11" t="s">
        <v>106</v>
      </c>
      <c r="AR23" s="12"/>
      <c r="AS23" s="25" t="s">
        <v>107</v>
      </c>
    </row>
    <row r="24" spans="1:45" ht="15.6" customHeight="1" thickTop="1" thickBot="1" x14ac:dyDescent="0.35">
      <c r="A24" s="26" t="s">
        <v>118</v>
      </c>
      <c r="B24" s="13" t="s">
        <v>117</v>
      </c>
      <c r="C24" s="52">
        <v>52800</v>
      </c>
      <c r="D24" s="67"/>
      <c r="E24" s="67"/>
      <c r="F24" s="67"/>
      <c r="G24" s="67"/>
      <c r="H24" s="67"/>
      <c r="I24" s="67"/>
      <c r="J24" s="67"/>
      <c r="K24" s="9">
        <v>1</v>
      </c>
      <c r="L24" s="16" t="s">
        <v>98</v>
      </c>
      <c r="M24" s="18" t="s">
        <v>99</v>
      </c>
      <c r="N24" s="18" t="s">
        <v>100</v>
      </c>
      <c r="O24" s="18" t="s">
        <v>101</v>
      </c>
      <c r="P24" s="19" t="s">
        <v>102</v>
      </c>
      <c r="Q24" s="19"/>
      <c r="R24" s="19"/>
      <c r="S24" s="11" t="s">
        <v>23</v>
      </c>
      <c r="T24" s="11"/>
      <c r="U24" s="11"/>
      <c r="V24" s="11"/>
      <c r="W24" s="11"/>
      <c r="X24" s="11"/>
      <c r="Y24" s="11"/>
      <c r="Z24" s="11"/>
      <c r="AA24" s="11" t="s">
        <v>33</v>
      </c>
      <c r="AB24" s="11"/>
      <c r="AC24" s="11" t="s">
        <v>33</v>
      </c>
      <c r="AD24" s="11" t="s">
        <v>33</v>
      </c>
      <c r="AE24" s="11"/>
      <c r="AF24" s="11"/>
      <c r="AG24" s="11" t="s">
        <v>335</v>
      </c>
      <c r="AH24" s="11" t="s">
        <v>33</v>
      </c>
      <c r="AI24" s="11" t="s">
        <v>33</v>
      </c>
      <c r="AJ24" s="11" t="s">
        <v>33</v>
      </c>
      <c r="AK24" s="11"/>
      <c r="AL24" s="45"/>
      <c r="AM24" s="62">
        <f t="shared" si="0"/>
        <v>0</v>
      </c>
      <c r="AN24" s="11"/>
      <c r="AO24" s="11"/>
      <c r="AP24" s="11"/>
      <c r="AQ24" s="11" t="s">
        <v>106</v>
      </c>
      <c r="AR24" s="12"/>
      <c r="AS24" s="25" t="s">
        <v>107</v>
      </c>
    </row>
    <row r="25" spans="1:45" ht="15.6" customHeight="1" thickTop="1" thickBot="1" x14ac:dyDescent="0.35">
      <c r="A25" s="26" t="s">
        <v>119</v>
      </c>
      <c r="B25" s="13" t="s">
        <v>120</v>
      </c>
      <c r="C25" s="52">
        <v>38500</v>
      </c>
      <c r="D25" s="67"/>
      <c r="E25" s="67"/>
      <c r="F25" s="67"/>
      <c r="G25" s="67"/>
      <c r="H25" s="67"/>
      <c r="I25" s="67"/>
      <c r="J25" s="67"/>
      <c r="K25" s="9">
        <v>1</v>
      </c>
      <c r="L25" s="16" t="s">
        <v>98</v>
      </c>
      <c r="M25" s="18" t="s">
        <v>99</v>
      </c>
      <c r="N25" s="18" t="s">
        <v>100</v>
      </c>
      <c r="O25" s="18" t="s">
        <v>101</v>
      </c>
      <c r="P25" s="19" t="s">
        <v>102</v>
      </c>
      <c r="Q25" s="19"/>
      <c r="R25" s="19"/>
      <c r="S25" s="11" t="s">
        <v>23</v>
      </c>
      <c r="T25" s="11"/>
      <c r="U25" s="11"/>
      <c r="V25" s="11"/>
      <c r="W25" s="11"/>
      <c r="X25" s="11"/>
      <c r="Y25" s="11"/>
      <c r="Z25" s="11"/>
      <c r="AA25" s="11" t="s">
        <v>33</v>
      </c>
      <c r="AB25" s="11"/>
      <c r="AC25" s="11" t="s">
        <v>33</v>
      </c>
      <c r="AD25" s="11" t="s">
        <v>33</v>
      </c>
      <c r="AE25" s="11"/>
      <c r="AF25" s="11"/>
      <c r="AG25" s="11" t="s">
        <v>338</v>
      </c>
      <c r="AH25" s="11" t="s">
        <v>33</v>
      </c>
      <c r="AI25" s="11" t="s">
        <v>33</v>
      </c>
      <c r="AJ25" s="11" t="s">
        <v>33</v>
      </c>
      <c r="AK25" s="11"/>
      <c r="AL25" s="45"/>
      <c r="AM25" s="62">
        <f t="shared" si="0"/>
        <v>0</v>
      </c>
      <c r="AN25" s="11"/>
      <c r="AO25" s="11"/>
      <c r="AP25" s="11"/>
      <c r="AQ25" s="11" t="s">
        <v>106</v>
      </c>
      <c r="AR25" s="12"/>
      <c r="AS25" s="25" t="s">
        <v>107</v>
      </c>
    </row>
    <row r="26" spans="1:45" ht="15.6" customHeight="1" thickTop="1" thickBot="1" x14ac:dyDescent="0.35">
      <c r="A26" s="26" t="s">
        <v>121</v>
      </c>
      <c r="B26" s="13" t="s">
        <v>120</v>
      </c>
      <c r="C26" s="52">
        <v>38500</v>
      </c>
      <c r="D26" s="67"/>
      <c r="E26" s="67"/>
      <c r="F26" s="67"/>
      <c r="G26" s="67"/>
      <c r="H26" s="67"/>
      <c r="I26" s="67"/>
      <c r="J26" s="67"/>
      <c r="K26" s="9">
        <v>1</v>
      </c>
      <c r="L26" s="16" t="s">
        <v>98</v>
      </c>
      <c r="M26" s="18" t="s">
        <v>99</v>
      </c>
      <c r="N26" s="18" t="s">
        <v>100</v>
      </c>
      <c r="O26" s="18" t="s">
        <v>101</v>
      </c>
      <c r="P26" s="19" t="s">
        <v>102</v>
      </c>
      <c r="Q26" s="19"/>
      <c r="R26" s="19"/>
      <c r="S26" s="11" t="s">
        <v>23</v>
      </c>
      <c r="T26" s="11"/>
      <c r="U26" s="11"/>
      <c r="V26" s="11"/>
      <c r="W26" s="11"/>
      <c r="X26" s="11"/>
      <c r="Y26" s="11"/>
      <c r="Z26" s="11"/>
      <c r="AA26" s="11" t="s">
        <v>33</v>
      </c>
      <c r="AB26" s="11"/>
      <c r="AC26" s="11" t="s">
        <v>33</v>
      </c>
      <c r="AD26" s="11" t="s">
        <v>33</v>
      </c>
      <c r="AE26" s="11"/>
      <c r="AF26" s="11"/>
      <c r="AG26" s="11" t="s">
        <v>338</v>
      </c>
      <c r="AH26" s="11" t="s">
        <v>33</v>
      </c>
      <c r="AI26" s="11" t="s">
        <v>33</v>
      </c>
      <c r="AJ26" s="11" t="s">
        <v>33</v>
      </c>
      <c r="AK26" s="11"/>
      <c r="AL26" s="45"/>
      <c r="AM26" s="62">
        <f t="shared" si="0"/>
        <v>0</v>
      </c>
      <c r="AN26" s="11"/>
      <c r="AO26" s="11"/>
      <c r="AP26" s="11"/>
      <c r="AQ26" s="11" t="s">
        <v>106</v>
      </c>
      <c r="AR26" s="12"/>
      <c r="AS26" s="25" t="s">
        <v>107</v>
      </c>
    </row>
    <row r="27" spans="1:45" ht="15.6" customHeight="1" thickTop="1" thickBot="1" x14ac:dyDescent="0.35">
      <c r="A27" s="26" t="s">
        <v>122</v>
      </c>
      <c r="B27" s="13" t="s">
        <v>367</v>
      </c>
      <c r="C27" s="52">
        <v>28050</v>
      </c>
      <c r="D27" s="67"/>
      <c r="E27" s="67"/>
      <c r="F27" s="67"/>
      <c r="G27" s="67"/>
      <c r="H27" s="67"/>
      <c r="I27" s="67"/>
      <c r="J27" s="67"/>
      <c r="K27" s="9">
        <v>1</v>
      </c>
      <c r="L27" s="16" t="s">
        <v>123</v>
      </c>
      <c r="M27" s="18" t="s">
        <v>124</v>
      </c>
      <c r="N27" s="18" t="s">
        <v>125</v>
      </c>
      <c r="O27" s="18" t="s">
        <v>76</v>
      </c>
      <c r="P27" s="19" t="s">
        <v>32</v>
      </c>
      <c r="Q27" s="19" t="s">
        <v>293</v>
      </c>
      <c r="R27" s="44" t="s">
        <v>297</v>
      </c>
      <c r="S27" s="11" t="s">
        <v>23</v>
      </c>
      <c r="T27" s="11"/>
      <c r="U27" s="11"/>
      <c r="V27" s="11"/>
      <c r="W27" s="11"/>
      <c r="X27" s="11"/>
      <c r="Y27" s="11"/>
      <c r="Z27" s="11"/>
      <c r="AA27" s="11" t="s">
        <v>126</v>
      </c>
      <c r="AB27" s="11"/>
      <c r="AC27" s="11" t="s">
        <v>126</v>
      </c>
      <c r="AD27" s="11" t="s">
        <v>55</v>
      </c>
      <c r="AE27" s="11" t="s">
        <v>370</v>
      </c>
      <c r="AF27" s="11"/>
      <c r="AG27" s="11" t="s">
        <v>337</v>
      </c>
      <c r="AH27" s="12">
        <v>46161</v>
      </c>
      <c r="AI27" s="12">
        <v>46168</v>
      </c>
      <c r="AJ27" s="74">
        <v>46248</v>
      </c>
      <c r="AK27" s="11"/>
      <c r="AL27" s="45"/>
      <c r="AM27" s="62">
        <f t="shared" si="0"/>
        <v>0</v>
      </c>
      <c r="AN27" s="11"/>
      <c r="AO27" s="11"/>
      <c r="AP27" s="11"/>
      <c r="AQ27" s="11" t="s">
        <v>3</v>
      </c>
      <c r="AR27" s="11"/>
      <c r="AS27" s="27" t="s">
        <v>127</v>
      </c>
    </row>
    <row r="28" spans="1:45" ht="15.6" customHeight="1" thickTop="1" thickBot="1" x14ac:dyDescent="0.35">
      <c r="A28" s="26" t="s">
        <v>128</v>
      </c>
      <c r="B28" s="20" t="s">
        <v>129</v>
      </c>
      <c r="C28" s="52"/>
      <c r="D28" s="69"/>
      <c r="E28" s="69"/>
      <c r="F28" s="69"/>
      <c r="G28" s="69"/>
      <c r="H28" s="69"/>
      <c r="I28" s="69"/>
      <c r="J28" s="69"/>
      <c r="K28" s="9">
        <v>1</v>
      </c>
      <c r="L28" s="16" t="s">
        <v>130</v>
      </c>
      <c r="M28" s="18" t="s">
        <v>131</v>
      </c>
      <c r="N28" s="18" t="s">
        <v>132</v>
      </c>
      <c r="O28" s="18" t="s">
        <v>133</v>
      </c>
      <c r="P28" s="19" t="s">
        <v>134</v>
      </c>
      <c r="Q28" s="9" t="s">
        <v>329</v>
      </c>
      <c r="R28" s="9" t="s">
        <v>329</v>
      </c>
      <c r="S28" s="11" t="s">
        <v>63</v>
      </c>
      <c r="T28" s="11"/>
      <c r="U28" s="11"/>
      <c r="V28" s="11"/>
      <c r="W28" s="11"/>
      <c r="X28" s="11"/>
      <c r="Y28" s="11"/>
      <c r="Z28" s="11"/>
      <c r="AA28" s="11" t="s">
        <v>3</v>
      </c>
      <c r="AB28" s="11"/>
      <c r="AC28" s="11" t="s">
        <v>3</v>
      </c>
      <c r="AD28" s="11" t="s">
        <v>3</v>
      </c>
      <c r="AE28" s="11"/>
      <c r="AF28" s="11"/>
      <c r="AG28" s="11"/>
      <c r="AH28" s="11" t="s">
        <v>3</v>
      </c>
      <c r="AI28" s="11" t="s">
        <v>3</v>
      </c>
      <c r="AJ28" s="11" t="s">
        <v>3</v>
      </c>
      <c r="AK28" s="11" t="s">
        <v>3</v>
      </c>
      <c r="AL28" s="45" t="s">
        <v>3</v>
      </c>
      <c r="AM28" s="62" t="e">
        <f t="shared" si="0"/>
        <v>#VALUE!</v>
      </c>
      <c r="AN28" s="11"/>
      <c r="AO28" s="11"/>
      <c r="AP28" s="11"/>
      <c r="AQ28" s="11" t="s">
        <v>3</v>
      </c>
      <c r="AR28" s="11"/>
      <c r="AS28" s="25"/>
    </row>
    <row r="29" spans="1:45" ht="15.6" customHeight="1" thickTop="1" thickBot="1" x14ac:dyDescent="0.35">
      <c r="A29" s="26" t="s">
        <v>135</v>
      </c>
      <c r="B29" s="13" t="s">
        <v>136</v>
      </c>
      <c r="C29" s="52">
        <v>28050</v>
      </c>
      <c r="D29" s="67"/>
      <c r="E29" s="67"/>
      <c r="F29" s="67"/>
      <c r="G29" s="67"/>
      <c r="H29" s="67"/>
      <c r="I29" s="67"/>
      <c r="J29" s="67"/>
      <c r="K29" s="9">
        <v>1</v>
      </c>
      <c r="L29" s="14" t="s">
        <v>137</v>
      </c>
      <c r="M29" s="10" t="s">
        <v>138</v>
      </c>
      <c r="N29" s="10" t="s">
        <v>125</v>
      </c>
      <c r="O29" s="10" t="s">
        <v>76</v>
      </c>
      <c r="P29" s="11" t="s">
        <v>32</v>
      </c>
      <c r="Q29" s="11" t="s">
        <v>293</v>
      </c>
      <c r="R29" s="45" t="s">
        <v>296</v>
      </c>
      <c r="S29" s="11" t="s">
        <v>23</v>
      </c>
      <c r="T29" s="11"/>
      <c r="U29" s="11"/>
      <c r="V29" s="11"/>
      <c r="W29" s="11"/>
      <c r="X29" s="11"/>
      <c r="Y29" s="11"/>
      <c r="Z29" s="11"/>
      <c r="AA29" s="11" t="s">
        <v>139</v>
      </c>
      <c r="AB29" s="11"/>
      <c r="AC29" s="11" t="s">
        <v>140</v>
      </c>
      <c r="AD29" s="11" t="s">
        <v>141</v>
      </c>
      <c r="AE29" s="11" t="s">
        <v>370</v>
      </c>
      <c r="AF29" s="11"/>
      <c r="AG29" s="11" t="s">
        <v>337</v>
      </c>
      <c r="AH29" s="21">
        <v>46054</v>
      </c>
      <c r="AI29" s="12">
        <v>46210</v>
      </c>
      <c r="AJ29" s="12">
        <v>46248</v>
      </c>
      <c r="AK29" s="11"/>
      <c r="AL29" s="45"/>
      <c r="AM29" s="62">
        <f t="shared" si="0"/>
        <v>0</v>
      </c>
      <c r="AN29" s="11"/>
      <c r="AO29" s="11"/>
      <c r="AP29" s="11"/>
      <c r="AQ29" s="11" t="s">
        <v>3</v>
      </c>
      <c r="AR29" s="11"/>
      <c r="AS29" s="25" t="s">
        <v>142</v>
      </c>
    </row>
    <row r="30" spans="1:45" ht="15.6" customHeight="1" thickTop="1" thickBot="1" x14ac:dyDescent="0.35">
      <c r="A30" s="26" t="s">
        <v>143</v>
      </c>
      <c r="B30" s="13" t="s">
        <v>144</v>
      </c>
      <c r="C30" s="52">
        <v>12100</v>
      </c>
      <c r="D30" s="67"/>
      <c r="E30" s="67"/>
      <c r="F30" s="67"/>
      <c r="G30" s="67"/>
      <c r="H30" s="67"/>
      <c r="I30" s="67"/>
      <c r="J30" s="67"/>
      <c r="K30" s="9">
        <v>1</v>
      </c>
      <c r="L30" s="16" t="s">
        <v>145</v>
      </c>
      <c r="M30" s="10" t="s">
        <v>146</v>
      </c>
      <c r="N30" s="10" t="s">
        <v>147</v>
      </c>
      <c r="O30" s="10" t="s">
        <v>148</v>
      </c>
      <c r="P30" s="11" t="s">
        <v>149</v>
      </c>
      <c r="Q30" s="11"/>
      <c r="R30" s="11"/>
      <c r="S30" s="11" t="s">
        <v>23</v>
      </c>
      <c r="T30" s="11"/>
      <c r="U30" s="11"/>
      <c r="V30" s="11"/>
      <c r="W30" s="11"/>
      <c r="X30" s="11"/>
      <c r="Y30" s="11"/>
      <c r="Z30" s="11"/>
      <c r="AA30" s="11" t="s">
        <v>150</v>
      </c>
      <c r="AB30" s="11"/>
      <c r="AC30" s="11" t="s">
        <v>151</v>
      </c>
      <c r="AD30" s="11" t="s">
        <v>33</v>
      </c>
      <c r="AE30" s="11"/>
      <c r="AF30" s="11"/>
      <c r="AG30" s="11" t="s">
        <v>334</v>
      </c>
      <c r="AH30" s="11" t="s">
        <v>33</v>
      </c>
      <c r="AI30" s="12">
        <v>46272</v>
      </c>
      <c r="AJ30" s="12">
        <f>AI30+30</f>
        <v>46302</v>
      </c>
      <c r="AK30" s="11"/>
      <c r="AL30" s="45"/>
      <c r="AM30" s="62">
        <f t="shared" si="0"/>
        <v>0</v>
      </c>
      <c r="AN30" s="11"/>
      <c r="AO30" s="11"/>
      <c r="AP30" s="11"/>
      <c r="AQ30" s="11" t="s">
        <v>3</v>
      </c>
      <c r="AR30" s="11"/>
      <c r="AS30" s="25" t="s">
        <v>44</v>
      </c>
    </row>
    <row r="31" spans="1:45" ht="15.6" customHeight="1" thickTop="1" thickBot="1" x14ac:dyDescent="0.35">
      <c r="A31" s="26" t="s">
        <v>152</v>
      </c>
      <c r="B31" s="13" t="s">
        <v>153</v>
      </c>
      <c r="C31" s="52">
        <v>19800</v>
      </c>
      <c r="D31" s="67"/>
      <c r="E31" s="67"/>
      <c r="F31" s="67"/>
      <c r="G31" s="67"/>
      <c r="H31" s="67"/>
      <c r="I31" s="67"/>
      <c r="J31" s="67"/>
      <c r="K31" s="9">
        <v>1</v>
      </c>
      <c r="L31" s="16" t="s">
        <v>154</v>
      </c>
      <c r="M31" s="10" t="s">
        <v>155</v>
      </c>
      <c r="N31" s="10" t="s">
        <v>156</v>
      </c>
      <c r="O31" s="10" t="s">
        <v>157</v>
      </c>
      <c r="P31" s="11" t="s">
        <v>102</v>
      </c>
      <c r="Q31" s="11"/>
      <c r="R31" s="11"/>
      <c r="S31" s="11" t="s">
        <v>23</v>
      </c>
      <c r="T31" s="11"/>
      <c r="U31" s="11"/>
      <c r="V31" s="11"/>
      <c r="W31" s="11"/>
      <c r="X31" s="11"/>
      <c r="Y31" s="11"/>
      <c r="Z31" s="11"/>
      <c r="AA31" s="11" t="s">
        <v>103</v>
      </c>
      <c r="AB31" s="11"/>
      <c r="AC31" s="11" t="s">
        <v>104</v>
      </c>
      <c r="AD31" s="11" t="s">
        <v>105</v>
      </c>
      <c r="AE31" s="11" t="s">
        <v>371</v>
      </c>
      <c r="AF31" s="11"/>
      <c r="AG31" s="11" t="s">
        <v>333</v>
      </c>
      <c r="AH31" s="11" t="s">
        <v>33</v>
      </c>
      <c r="AI31" s="11" t="s">
        <v>33</v>
      </c>
      <c r="AJ31" s="11" t="s">
        <v>33</v>
      </c>
      <c r="AK31" s="11"/>
      <c r="AL31" s="45"/>
      <c r="AM31" s="62">
        <f t="shared" si="0"/>
        <v>0</v>
      </c>
      <c r="AN31" s="11"/>
      <c r="AO31" s="11"/>
      <c r="AP31" s="11"/>
      <c r="AQ31" s="11" t="s">
        <v>26</v>
      </c>
      <c r="AR31" s="11"/>
      <c r="AS31" s="25"/>
    </row>
    <row r="32" spans="1:45" ht="15.6" customHeight="1" thickTop="1" thickBot="1" x14ac:dyDescent="0.35">
      <c r="A32" s="26" t="s">
        <v>158</v>
      </c>
      <c r="B32" s="13" t="s">
        <v>159</v>
      </c>
      <c r="C32" s="52">
        <v>42900</v>
      </c>
      <c r="D32" s="67"/>
      <c r="E32" s="67"/>
      <c r="F32" s="67"/>
      <c r="G32" s="67"/>
      <c r="H32" s="67"/>
      <c r="I32" s="67"/>
      <c r="J32" s="67"/>
      <c r="K32" s="9">
        <v>1</v>
      </c>
      <c r="L32" s="16" t="s">
        <v>160</v>
      </c>
      <c r="M32" s="10" t="s">
        <v>161</v>
      </c>
      <c r="N32" s="10" t="s">
        <v>162</v>
      </c>
      <c r="O32" s="10" t="s">
        <v>162</v>
      </c>
      <c r="P32" s="11" t="s">
        <v>102</v>
      </c>
      <c r="Q32" s="11"/>
      <c r="R32" s="11"/>
      <c r="S32" s="11" t="s">
        <v>23</v>
      </c>
      <c r="T32" s="11"/>
      <c r="U32" s="11"/>
      <c r="V32" s="11"/>
      <c r="W32" s="11"/>
      <c r="X32" s="11"/>
      <c r="Y32" s="11"/>
      <c r="Z32" s="11"/>
      <c r="AA32" s="11" t="s">
        <v>33</v>
      </c>
      <c r="AB32" s="11"/>
      <c r="AC32" s="11" t="s">
        <v>33</v>
      </c>
      <c r="AD32" s="11" t="s">
        <v>33</v>
      </c>
      <c r="AE32" s="11"/>
      <c r="AF32" s="11"/>
      <c r="AG32" s="11" t="s">
        <v>335</v>
      </c>
      <c r="AH32" s="11" t="s">
        <v>33</v>
      </c>
      <c r="AI32" s="11">
        <v>2027</v>
      </c>
      <c r="AJ32" s="11">
        <v>2027</v>
      </c>
      <c r="AK32" s="11"/>
      <c r="AL32" s="45"/>
      <c r="AM32" s="62">
        <f t="shared" si="0"/>
        <v>0</v>
      </c>
      <c r="AN32" s="11"/>
      <c r="AO32" s="11"/>
      <c r="AP32" s="11"/>
      <c r="AQ32" s="11" t="s">
        <v>26</v>
      </c>
      <c r="AR32" s="11"/>
      <c r="AS32" s="25"/>
    </row>
    <row r="33" spans="1:45" ht="15.6" customHeight="1" thickTop="1" thickBot="1" x14ac:dyDescent="0.35">
      <c r="A33" s="26" t="s">
        <v>163</v>
      </c>
      <c r="B33" s="13" t="s">
        <v>159</v>
      </c>
      <c r="C33" s="52">
        <v>42900</v>
      </c>
      <c r="D33" s="67"/>
      <c r="E33" s="67"/>
      <c r="F33" s="67"/>
      <c r="G33" s="67"/>
      <c r="H33" s="67"/>
      <c r="I33" s="67"/>
      <c r="J33" s="67"/>
      <c r="K33" s="9">
        <v>1</v>
      </c>
      <c r="L33" s="16" t="s">
        <v>160</v>
      </c>
      <c r="M33" s="10" t="s">
        <v>161</v>
      </c>
      <c r="N33" s="10" t="s">
        <v>162</v>
      </c>
      <c r="O33" s="10" t="s">
        <v>162</v>
      </c>
      <c r="P33" s="11" t="s">
        <v>102</v>
      </c>
      <c r="Q33" s="11"/>
      <c r="R33" s="11"/>
      <c r="S33" s="11" t="s">
        <v>23</v>
      </c>
      <c r="T33" s="11"/>
      <c r="U33" s="11"/>
      <c r="V33" s="11"/>
      <c r="W33" s="11"/>
      <c r="X33" s="11"/>
      <c r="Y33" s="11"/>
      <c r="Z33" s="11"/>
      <c r="AA33" s="11" t="s">
        <v>33</v>
      </c>
      <c r="AB33" s="11"/>
      <c r="AC33" s="11" t="s">
        <v>33</v>
      </c>
      <c r="AD33" s="11" t="s">
        <v>33</v>
      </c>
      <c r="AE33" s="11"/>
      <c r="AF33" s="11"/>
      <c r="AG33" s="11" t="s">
        <v>335</v>
      </c>
      <c r="AH33" s="11" t="s">
        <v>33</v>
      </c>
      <c r="AI33" s="11">
        <v>2027</v>
      </c>
      <c r="AJ33" s="11">
        <v>2027</v>
      </c>
      <c r="AK33" s="11"/>
      <c r="AL33" s="45"/>
      <c r="AM33" s="62">
        <f t="shared" si="0"/>
        <v>0</v>
      </c>
      <c r="AN33" s="11"/>
      <c r="AO33" s="11"/>
      <c r="AP33" s="11"/>
      <c r="AQ33" s="11" t="s">
        <v>26</v>
      </c>
      <c r="AR33" s="11"/>
      <c r="AS33" s="25"/>
    </row>
    <row r="34" spans="1:45" ht="15.6" customHeight="1" thickTop="1" thickBot="1" x14ac:dyDescent="0.35">
      <c r="A34" s="26" t="s">
        <v>164</v>
      </c>
      <c r="B34" s="13" t="s">
        <v>165</v>
      </c>
      <c r="C34" s="52"/>
      <c r="D34" s="67"/>
      <c r="E34" s="67"/>
      <c r="F34" s="67"/>
      <c r="G34" s="67"/>
      <c r="H34" s="67"/>
      <c r="I34" s="67"/>
      <c r="J34" s="67"/>
      <c r="K34" s="9">
        <v>1</v>
      </c>
      <c r="L34" s="16" t="s">
        <v>166</v>
      </c>
      <c r="M34" s="10" t="s">
        <v>167</v>
      </c>
      <c r="N34" s="10" t="s">
        <v>168</v>
      </c>
      <c r="O34" s="10" t="s">
        <v>169</v>
      </c>
      <c r="P34" s="11" t="s">
        <v>170</v>
      </c>
      <c r="Q34" s="9" t="s">
        <v>329</v>
      </c>
      <c r="R34" s="9" t="s">
        <v>329</v>
      </c>
      <c r="S34" s="11" t="s">
        <v>63</v>
      </c>
      <c r="T34" s="11"/>
      <c r="U34" s="11"/>
      <c r="V34" s="11"/>
      <c r="W34" s="11" t="s">
        <v>3</v>
      </c>
      <c r="X34" s="11"/>
      <c r="Y34" s="11"/>
      <c r="Z34" s="11"/>
      <c r="AA34" s="11" t="s">
        <v>3</v>
      </c>
      <c r="AB34" s="11"/>
      <c r="AC34" s="11" t="s">
        <v>3</v>
      </c>
      <c r="AD34" s="11" t="s">
        <v>3</v>
      </c>
      <c r="AE34" s="11"/>
      <c r="AF34" s="11"/>
      <c r="AG34" s="11"/>
      <c r="AH34" s="11" t="s">
        <v>3</v>
      </c>
      <c r="AI34" s="11" t="s">
        <v>3</v>
      </c>
      <c r="AJ34" s="11" t="s">
        <v>3</v>
      </c>
      <c r="AK34" s="11" t="s">
        <v>3</v>
      </c>
      <c r="AL34" s="45" t="s">
        <v>3</v>
      </c>
      <c r="AM34" s="62" t="e">
        <f t="shared" si="0"/>
        <v>#VALUE!</v>
      </c>
      <c r="AN34" s="11"/>
      <c r="AO34" s="11"/>
      <c r="AP34" s="11"/>
      <c r="AQ34" s="11" t="s">
        <v>3</v>
      </c>
      <c r="AR34" s="11"/>
      <c r="AS34" s="25"/>
    </row>
    <row r="35" spans="1:45" ht="15.6" customHeight="1" thickTop="1" thickBot="1" x14ac:dyDescent="0.35">
      <c r="A35" s="26" t="s">
        <v>171</v>
      </c>
      <c r="B35" s="13" t="s">
        <v>172</v>
      </c>
      <c r="C35" s="52">
        <v>11550</v>
      </c>
      <c r="D35" s="67"/>
      <c r="E35" s="67"/>
      <c r="F35" s="67"/>
      <c r="G35" s="67"/>
      <c r="H35" s="67"/>
      <c r="I35" s="67"/>
      <c r="J35" s="67"/>
      <c r="K35" s="9">
        <v>1</v>
      </c>
      <c r="L35" s="16" t="s">
        <v>173</v>
      </c>
      <c r="M35" s="10" t="s">
        <v>174</v>
      </c>
      <c r="N35" s="10" t="s">
        <v>50</v>
      </c>
      <c r="O35" s="10" t="s">
        <v>175</v>
      </c>
      <c r="P35" s="11" t="s">
        <v>176</v>
      </c>
      <c r="Q35" s="11"/>
      <c r="R35" s="11"/>
      <c r="S35" s="11" t="s">
        <v>23</v>
      </c>
      <c r="T35" s="11"/>
      <c r="U35" s="11"/>
      <c r="V35" s="11"/>
      <c r="W35" s="11"/>
      <c r="X35" s="11"/>
      <c r="Y35" s="11"/>
      <c r="Z35" s="11"/>
      <c r="AA35" s="11" t="s">
        <v>177</v>
      </c>
      <c r="AB35" s="11" t="s">
        <v>288</v>
      </c>
      <c r="AC35" s="11" t="s">
        <v>177</v>
      </c>
      <c r="AD35" s="11" t="s">
        <v>89</v>
      </c>
      <c r="AE35" s="11" t="s">
        <v>370</v>
      </c>
      <c r="AF35" s="11"/>
      <c r="AG35" s="11" t="s">
        <v>334</v>
      </c>
      <c r="AH35" s="12">
        <v>46198</v>
      </c>
      <c r="AI35" s="12">
        <v>46218</v>
      </c>
      <c r="AJ35" s="12">
        <v>46242</v>
      </c>
      <c r="AK35" s="12">
        <v>46218</v>
      </c>
      <c r="AL35" s="45" t="s">
        <v>359</v>
      </c>
      <c r="AM35" s="62">
        <f t="shared" si="0"/>
        <v>22</v>
      </c>
      <c r="AN35" s="11"/>
      <c r="AO35" s="11"/>
      <c r="AP35" s="11"/>
      <c r="AQ35" s="11" t="s">
        <v>3</v>
      </c>
      <c r="AR35" s="11"/>
      <c r="AS35" s="25"/>
    </row>
    <row r="36" spans="1:45" ht="15.6" customHeight="1" thickTop="1" thickBot="1" x14ac:dyDescent="0.35">
      <c r="A36" s="26" t="s">
        <v>178</v>
      </c>
      <c r="B36" s="13" t="s">
        <v>179</v>
      </c>
      <c r="C36" s="52">
        <v>17050</v>
      </c>
      <c r="D36" s="70">
        <v>16200</v>
      </c>
      <c r="E36" s="70" t="s">
        <v>355</v>
      </c>
      <c r="F36" s="70">
        <v>4860</v>
      </c>
      <c r="G36" s="70" t="s">
        <v>355</v>
      </c>
      <c r="H36" s="70">
        <v>4860</v>
      </c>
      <c r="I36" s="70"/>
      <c r="J36" s="70">
        <v>6480</v>
      </c>
      <c r="K36" s="9">
        <v>1</v>
      </c>
      <c r="L36" s="16" t="s">
        <v>180</v>
      </c>
      <c r="M36" s="10" t="s">
        <v>181</v>
      </c>
      <c r="N36" s="10" t="s">
        <v>50</v>
      </c>
      <c r="O36" s="10" t="s">
        <v>182</v>
      </c>
      <c r="P36" s="11" t="s">
        <v>22</v>
      </c>
      <c r="Q36" s="11" t="s">
        <v>293</v>
      </c>
      <c r="R36" s="11" t="s">
        <v>298</v>
      </c>
      <c r="S36" s="11" t="s">
        <v>23</v>
      </c>
      <c r="T36" s="11"/>
      <c r="U36" s="11"/>
      <c r="V36" s="11"/>
      <c r="W36" s="11"/>
      <c r="X36" s="11"/>
      <c r="Y36" s="11"/>
      <c r="Z36" s="11"/>
      <c r="AA36" s="11" t="s">
        <v>24</v>
      </c>
      <c r="AB36" s="11" t="s">
        <v>288</v>
      </c>
      <c r="AC36" s="11" t="s">
        <v>25</v>
      </c>
      <c r="AD36" s="11" t="s">
        <v>25</v>
      </c>
      <c r="AE36" s="11" t="s">
        <v>371</v>
      </c>
      <c r="AF36" s="11"/>
      <c r="AG36" s="11" t="s">
        <v>334</v>
      </c>
      <c r="AH36" s="12">
        <v>46170</v>
      </c>
      <c r="AI36" s="12">
        <v>46175</v>
      </c>
      <c r="AJ36" s="12">
        <v>46265</v>
      </c>
      <c r="AK36" s="12">
        <v>46181</v>
      </c>
      <c r="AL36" s="45"/>
      <c r="AM36" s="62">
        <f t="shared" si="0"/>
        <v>-46181</v>
      </c>
      <c r="AN36" s="11"/>
      <c r="AO36" s="11"/>
      <c r="AP36" s="11"/>
      <c r="AQ36" s="11" t="s">
        <v>3</v>
      </c>
      <c r="AR36" s="11"/>
      <c r="AS36" s="25"/>
    </row>
    <row r="37" spans="1:45" ht="15.6" customHeight="1" thickTop="1" thickBot="1" x14ac:dyDescent="0.35">
      <c r="A37" s="26" t="s">
        <v>184</v>
      </c>
      <c r="B37" s="13" t="s">
        <v>179</v>
      </c>
      <c r="C37" s="52">
        <v>17050</v>
      </c>
      <c r="D37" s="70">
        <v>16200</v>
      </c>
      <c r="E37" s="70" t="s">
        <v>355</v>
      </c>
      <c r="F37" s="70">
        <v>4860</v>
      </c>
      <c r="G37" s="70" t="s">
        <v>355</v>
      </c>
      <c r="H37" s="70">
        <v>4860</v>
      </c>
      <c r="I37" s="70"/>
      <c r="J37" s="70">
        <v>6480</v>
      </c>
      <c r="K37" s="9">
        <v>1</v>
      </c>
      <c r="L37" s="16" t="s">
        <v>180</v>
      </c>
      <c r="M37" s="10" t="s">
        <v>181</v>
      </c>
      <c r="N37" s="10" t="s">
        <v>50</v>
      </c>
      <c r="O37" s="10" t="s">
        <v>182</v>
      </c>
      <c r="P37" s="11" t="s">
        <v>22</v>
      </c>
      <c r="Q37" s="11" t="s">
        <v>293</v>
      </c>
      <c r="R37" s="11" t="s">
        <v>298</v>
      </c>
      <c r="S37" s="11" t="s">
        <v>23</v>
      </c>
      <c r="T37" s="11"/>
      <c r="U37" s="11"/>
      <c r="V37" s="11"/>
      <c r="W37" s="11"/>
      <c r="X37" s="11"/>
      <c r="Y37" s="11"/>
      <c r="Z37" s="11"/>
      <c r="AA37" s="11" t="s">
        <v>24</v>
      </c>
      <c r="AB37" s="11" t="s">
        <v>288</v>
      </c>
      <c r="AC37" s="11" t="s">
        <v>25</v>
      </c>
      <c r="AD37" s="11" t="s">
        <v>185</v>
      </c>
      <c r="AE37" s="11" t="s">
        <v>371</v>
      </c>
      <c r="AF37" s="11"/>
      <c r="AG37" s="11" t="s">
        <v>334</v>
      </c>
      <c r="AH37" s="12">
        <v>46170</v>
      </c>
      <c r="AI37" s="12">
        <v>46213</v>
      </c>
      <c r="AJ37" s="12">
        <v>46265</v>
      </c>
      <c r="AK37" s="12">
        <v>46181</v>
      </c>
      <c r="AL37" s="45"/>
      <c r="AM37" s="62">
        <f t="shared" si="0"/>
        <v>-46181</v>
      </c>
      <c r="AN37" s="11"/>
      <c r="AO37" s="11"/>
      <c r="AP37" s="11"/>
      <c r="AQ37" s="11" t="s">
        <v>3</v>
      </c>
      <c r="AR37" s="11"/>
      <c r="AS37" s="25"/>
    </row>
    <row r="38" spans="1:45" ht="15.6" customHeight="1" thickTop="1" thickBot="1" x14ac:dyDescent="0.35">
      <c r="A38" s="26" t="s">
        <v>186</v>
      </c>
      <c r="B38" s="13" t="s">
        <v>179</v>
      </c>
      <c r="C38" s="52">
        <v>17050</v>
      </c>
      <c r="D38" s="70">
        <v>16200</v>
      </c>
      <c r="E38" s="70"/>
      <c r="F38" s="70">
        <v>4860</v>
      </c>
      <c r="G38" s="70"/>
      <c r="H38" s="70">
        <v>4860</v>
      </c>
      <c r="I38" s="70"/>
      <c r="J38" s="70">
        <v>6480</v>
      </c>
      <c r="K38" s="9">
        <v>1</v>
      </c>
      <c r="L38" s="16" t="s">
        <v>180</v>
      </c>
      <c r="M38" s="10" t="s">
        <v>181</v>
      </c>
      <c r="N38" s="10" t="s">
        <v>50</v>
      </c>
      <c r="O38" s="10" t="s">
        <v>182</v>
      </c>
      <c r="P38" s="11" t="s">
        <v>22</v>
      </c>
      <c r="Q38" s="11" t="s">
        <v>293</v>
      </c>
      <c r="R38" s="11" t="s">
        <v>298</v>
      </c>
      <c r="S38" s="11" t="s">
        <v>23</v>
      </c>
      <c r="T38" s="11"/>
      <c r="U38" s="11"/>
      <c r="V38" s="11"/>
      <c r="W38" s="11"/>
      <c r="X38" s="11"/>
      <c r="Y38" s="11"/>
      <c r="Z38" s="11"/>
      <c r="AA38" s="11" t="s">
        <v>24</v>
      </c>
      <c r="AB38" s="11" t="s">
        <v>183</v>
      </c>
      <c r="AC38" s="11" t="s">
        <v>187</v>
      </c>
      <c r="AD38" s="11" t="s">
        <v>185</v>
      </c>
      <c r="AE38" s="11" t="s">
        <v>371</v>
      </c>
      <c r="AF38" s="11"/>
      <c r="AG38" s="11" t="s">
        <v>334</v>
      </c>
      <c r="AH38" s="12">
        <v>46170</v>
      </c>
      <c r="AI38" s="12">
        <v>46216</v>
      </c>
      <c r="AJ38" s="12">
        <v>46285</v>
      </c>
      <c r="AK38" s="12">
        <v>46238</v>
      </c>
      <c r="AL38" s="45"/>
      <c r="AM38" s="62">
        <f t="shared" si="0"/>
        <v>-46238</v>
      </c>
      <c r="AN38" s="11"/>
      <c r="AO38" s="11"/>
      <c r="AP38" s="11"/>
      <c r="AQ38" s="11" t="s">
        <v>3</v>
      </c>
      <c r="AR38" s="11"/>
      <c r="AS38" s="25"/>
    </row>
    <row r="39" spans="1:45" ht="15.6" customHeight="1" thickTop="1" thickBot="1" x14ac:dyDescent="0.35">
      <c r="A39" s="26" t="s">
        <v>188</v>
      </c>
      <c r="B39" s="13" t="s">
        <v>189</v>
      </c>
      <c r="C39" s="52">
        <v>29700</v>
      </c>
      <c r="D39" s="70"/>
      <c r="E39" s="70"/>
      <c r="F39" s="70"/>
      <c r="G39" s="70"/>
      <c r="H39" s="70"/>
      <c r="I39" s="70"/>
      <c r="J39" s="70"/>
      <c r="K39" s="9">
        <v>1</v>
      </c>
      <c r="L39" s="16" t="s">
        <v>190</v>
      </c>
      <c r="M39" s="10" t="s">
        <v>191</v>
      </c>
      <c r="N39" s="10" t="s">
        <v>192</v>
      </c>
      <c r="O39" s="10" t="s">
        <v>193</v>
      </c>
      <c r="P39" s="11" t="s">
        <v>32</v>
      </c>
      <c r="Q39" s="11"/>
      <c r="R39" s="11"/>
      <c r="S39" s="11" t="s">
        <v>23</v>
      </c>
      <c r="T39" s="11"/>
      <c r="U39" s="11"/>
      <c r="V39" s="11"/>
      <c r="W39" s="11" t="s">
        <v>35</v>
      </c>
      <c r="X39" s="11"/>
      <c r="Y39" s="11"/>
      <c r="Z39" s="11"/>
      <c r="AA39" s="11" t="s">
        <v>340</v>
      </c>
      <c r="AB39" s="11" t="s">
        <v>183</v>
      </c>
      <c r="AC39" s="11" t="s">
        <v>339</v>
      </c>
      <c r="AD39" s="11" t="s">
        <v>34</v>
      </c>
      <c r="AE39" s="11" t="s">
        <v>370</v>
      </c>
      <c r="AF39" s="11"/>
      <c r="AG39" s="11" t="s">
        <v>335</v>
      </c>
      <c r="AH39" s="12">
        <v>46233</v>
      </c>
      <c r="AI39" s="12">
        <v>46295</v>
      </c>
      <c r="AJ39" s="12">
        <f>AI39+45</f>
        <v>46340</v>
      </c>
      <c r="AK39" s="12"/>
      <c r="AL39" s="12"/>
      <c r="AM39" s="62">
        <f t="shared" si="0"/>
        <v>0</v>
      </c>
      <c r="AN39" s="11"/>
      <c r="AO39" s="11"/>
      <c r="AP39" s="11"/>
      <c r="AQ39" s="11" t="s">
        <v>3</v>
      </c>
      <c r="AR39" s="12">
        <v>46221</v>
      </c>
      <c r="AS39" s="25" t="s">
        <v>358</v>
      </c>
    </row>
    <row r="40" spans="1:45" ht="15.6" customHeight="1" thickTop="1" thickBot="1" x14ac:dyDescent="0.35">
      <c r="A40" s="26" t="s">
        <v>195</v>
      </c>
      <c r="B40" s="13" t="s">
        <v>189</v>
      </c>
      <c r="C40" s="52">
        <v>29700</v>
      </c>
      <c r="D40" s="70"/>
      <c r="E40" s="70"/>
      <c r="F40" s="70"/>
      <c r="G40" s="70"/>
      <c r="H40" s="70"/>
      <c r="I40" s="70"/>
      <c r="J40" s="70"/>
      <c r="K40" s="9">
        <v>1</v>
      </c>
      <c r="L40" s="16" t="s">
        <v>190</v>
      </c>
      <c r="M40" s="10" t="s">
        <v>191</v>
      </c>
      <c r="N40" s="10" t="s">
        <v>192</v>
      </c>
      <c r="O40" s="10" t="s">
        <v>193</v>
      </c>
      <c r="P40" s="11" t="s">
        <v>32</v>
      </c>
      <c r="Q40" s="11"/>
      <c r="R40" s="11"/>
      <c r="S40" s="11" t="s">
        <v>23</v>
      </c>
      <c r="T40" s="11"/>
      <c r="U40" s="11"/>
      <c r="V40" s="11"/>
      <c r="W40" s="11" t="s">
        <v>35</v>
      </c>
      <c r="X40" s="11"/>
      <c r="Y40" s="11"/>
      <c r="Z40" s="11"/>
      <c r="AA40" s="11" t="s">
        <v>340</v>
      </c>
      <c r="AB40" s="11" t="s">
        <v>183</v>
      </c>
      <c r="AC40" s="11" t="s">
        <v>339</v>
      </c>
      <c r="AD40" s="11" t="s">
        <v>34</v>
      </c>
      <c r="AE40" s="11" t="s">
        <v>370</v>
      </c>
      <c r="AF40" s="11"/>
      <c r="AG40" s="11" t="s">
        <v>335</v>
      </c>
      <c r="AH40" s="12">
        <v>46233</v>
      </c>
      <c r="AI40" s="12">
        <v>46249</v>
      </c>
      <c r="AJ40" s="12">
        <f>AI40+45</f>
        <v>46294</v>
      </c>
      <c r="AK40" s="11"/>
      <c r="AL40" s="45"/>
      <c r="AM40" s="62">
        <f t="shared" si="0"/>
        <v>0</v>
      </c>
      <c r="AN40" s="11"/>
      <c r="AO40" s="11"/>
      <c r="AP40" s="11"/>
      <c r="AQ40" s="11" t="s">
        <v>3</v>
      </c>
      <c r="AR40" s="12">
        <v>46221</v>
      </c>
      <c r="AS40" s="25" t="s">
        <v>358</v>
      </c>
    </row>
    <row r="41" spans="1:45" ht="15.6" customHeight="1" thickTop="1" thickBot="1" x14ac:dyDescent="0.35">
      <c r="A41" s="26" t="s">
        <v>196</v>
      </c>
      <c r="B41" s="13" t="s">
        <v>197</v>
      </c>
      <c r="C41" s="52">
        <v>41250</v>
      </c>
      <c r="D41" s="70"/>
      <c r="E41" s="70"/>
      <c r="F41" s="70"/>
      <c r="G41" s="70"/>
      <c r="H41" s="70"/>
      <c r="I41" s="70"/>
      <c r="J41" s="70"/>
      <c r="K41" s="9">
        <v>1</v>
      </c>
      <c r="L41" s="16" t="s">
        <v>198</v>
      </c>
      <c r="M41" s="10" t="s">
        <v>199</v>
      </c>
      <c r="N41" s="10" t="s">
        <v>200</v>
      </c>
      <c r="O41" s="10" t="s">
        <v>193</v>
      </c>
      <c r="P41" s="11" t="s">
        <v>32</v>
      </c>
      <c r="Q41" s="11"/>
      <c r="R41" s="11"/>
      <c r="S41" s="11" t="s">
        <v>23</v>
      </c>
      <c r="T41" s="11"/>
      <c r="U41" s="11"/>
      <c r="V41" s="11"/>
      <c r="W41" s="11" t="s">
        <v>35</v>
      </c>
      <c r="X41" s="11"/>
      <c r="Y41" s="11"/>
      <c r="Z41" s="11"/>
      <c r="AA41" s="11" t="s">
        <v>33</v>
      </c>
      <c r="AB41" s="11"/>
      <c r="AC41" s="11" t="s">
        <v>33</v>
      </c>
      <c r="AD41" s="11" t="s">
        <v>34</v>
      </c>
      <c r="AE41" s="11" t="s">
        <v>370</v>
      </c>
      <c r="AF41" s="11"/>
      <c r="AG41" s="11" t="s">
        <v>335</v>
      </c>
      <c r="AH41" s="12">
        <v>46272</v>
      </c>
      <c r="AI41" s="12">
        <v>46285</v>
      </c>
      <c r="AJ41" s="11"/>
      <c r="AK41" s="11"/>
      <c r="AL41" s="45"/>
      <c r="AM41" s="62">
        <f t="shared" si="0"/>
        <v>0</v>
      </c>
      <c r="AN41" s="11"/>
      <c r="AO41" s="11"/>
      <c r="AP41" s="11"/>
      <c r="AQ41" s="11" t="s">
        <v>3</v>
      </c>
      <c r="AR41" s="12">
        <v>46222</v>
      </c>
      <c r="AS41" s="25" t="s">
        <v>44</v>
      </c>
    </row>
    <row r="42" spans="1:45" ht="15.6" customHeight="1" thickTop="1" thickBot="1" x14ac:dyDescent="0.35">
      <c r="A42" s="26" t="s">
        <v>201</v>
      </c>
      <c r="B42" s="13" t="s">
        <v>197</v>
      </c>
      <c r="C42" s="52">
        <v>41250</v>
      </c>
      <c r="D42" s="70"/>
      <c r="E42" s="70"/>
      <c r="F42" s="70"/>
      <c r="G42" s="70"/>
      <c r="H42" s="70"/>
      <c r="I42" s="70"/>
      <c r="J42" s="70"/>
      <c r="K42" s="9">
        <v>1</v>
      </c>
      <c r="L42" s="16" t="s">
        <v>198</v>
      </c>
      <c r="M42" s="10" t="s">
        <v>199</v>
      </c>
      <c r="N42" s="10" t="s">
        <v>200</v>
      </c>
      <c r="O42" s="10" t="s">
        <v>193</v>
      </c>
      <c r="P42" s="11" t="s">
        <v>32</v>
      </c>
      <c r="Q42" s="11"/>
      <c r="R42" s="11"/>
      <c r="S42" s="11" t="s">
        <v>23</v>
      </c>
      <c r="T42" s="11"/>
      <c r="U42" s="11"/>
      <c r="V42" s="11"/>
      <c r="W42" s="11" t="s">
        <v>35</v>
      </c>
      <c r="X42" s="11"/>
      <c r="Y42" s="11"/>
      <c r="Z42" s="11"/>
      <c r="AA42" s="11" t="s">
        <v>33</v>
      </c>
      <c r="AB42" s="11"/>
      <c r="AC42" s="11" t="s">
        <v>33</v>
      </c>
      <c r="AD42" s="11" t="s">
        <v>34</v>
      </c>
      <c r="AE42" s="11" t="s">
        <v>370</v>
      </c>
      <c r="AF42" s="11"/>
      <c r="AG42" s="11" t="s">
        <v>335</v>
      </c>
      <c r="AH42" s="12">
        <v>46272</v>
      </c>
      <c r="AI42" s="12"/>
      <c r="AJ42" s="12"/>
      <c r="AK42" s="11"/>
      <c r="AL42" s="45"/>
      <c r="AM42" s="62">
        <f t="shared" si="0"/>
        <v>0</v>
      </c>
      <c r="AN42" s="11"/>
      <c r="AO42" s="11"/>
      <c r="AP42" s="11"/>
      <c r="AQ42" s="11" t="s">
        <v>3</v>
      </c>
      <c r="AR42" s="12">
        <v>46222</v>
      </c>
      <c r="AS42" s="25" t="s">
        <v>44</v>
      </c>
    </row>
    <row r="43" spans="1:45" ht="15.6" customHeight="1" thickTop="1" thickBot="1" x14ac:dyDescent="0.35">
      <c r="A43" s="26" t="s">
        <v>202</v>
      </c>
      <c r="B43" s="13" t="s">
        <v>197</v>
      </c>
      <c r="C43" s="52">
        <v>41250</v>
      </c>
      <c r="D43" s="70"/>
      <c r="E43" s="70"/>
      <c r="F43" s="70"/>
      <c r="G43" s="70"/>
      <c r="H43" s="70"/>
      <c r="I43" s="70"/>
      <c r="J43" s="70"/>
      <c r="K43" s="9">
        <v>1</v>
      </c>
      <c r="L43" s="16" t="s">
        <v>198</v>
      </c>
      <c r="M43" s="10" t="s">
        <v>199</v>
      </c>
      <c r="N43" s="10" t="s">
        <v>200</v>
      </c>
      <c r="O43" s="10" t="s">
        <v>193</v>
      </c>
      <c r="P43" s="11" t="s">
        <v>32</v>
      </c>
      <c r="Q43" s="11"/>
      <c r="R43" s="11"/>
      <c r="S43" s="11" t="s">
        <v>23</v>
      </c>
      <c r="T43" s="11"/>
      <c r="U43" s="11"/>
      <c r="V43" s="11"/>
      <c r="W43" s="11" t="s">
        <v>35</v>
      </c>
      <c r="X43" s="11"/>
      <c r="Y43" s="11"/>
      <c r="Z43" s="11"/>
      <c r="AA43" s="11" t="s">
        <v>33</v>
      </c>
      <c r="AB43" s="11"/>
      <c r="AC43" s="11" t="s">
        <v>33</v>
      </c>
      <c r="AD43" s="11" t="s">
        <v>34</v>
      </c>
      <c r="AE43" s="11" t="s">
        <v>370</v>
      </c>
      <c r="AF43" s="11"/>
      <c r="AG43" s="11" t="s">
        <v>335</v>
      </c>
      <c r="AH43" s="12">
        <v>46272</v>
      </c>
      <c r="AI43" s="12"/>
      <c r="AJ43" s="12"/>
      <c r="AK43" s="11"/>
      <c r="AL43" s="45"/>
      <c r="AM43" s="62">
        <f t="shared" si="0"/>
        <v>0</v>
      </c>
      <c r="AN43" s="11"/>
      <c r="AO43" s="11"/>
      <c r="AP43" s="11"/>
      <c r="AQ43" s="11" t="s">
        <v>3</v>
      </c>
      <c r="AR43" s="12">
        <v>46222</v>
      </c>
      <c r="AS43" s="25" t="s">
        <v>44</v>
      </c>
    </row>
    <row r="44" spans="1:45" ht="15.6" customHeight="1" thickTop="1" thickBot="1" x14ac:dyDescent="0.35">
      <c r="A44" s="26" t="s">
        <v>203</v>
      </c>
      <c r="B44" s="13" t="s">
        <v>204</v>
      </c>
      <c r="C44" s="52">
        <v>13200</v>
      </c>
      <c r="D44" s="70">
        <v>13200</v>
      </c>
      <c r="E44" s="70"/>
      <c r="F44" s="70">
        <v>3960</v>
      </c>
      <c r="G44" s="70"/>
      <c r="H44" s="70">
        <v>3960</v>
      </c>
      <c r="I44" s="70"/>
      <c r="J44" s="70">
        <v>5280</v>
      </c>
      <c r="K44" s="9">
        <v>1</v>
      </c>
      <c r="L44" s="16" t="s">
        <v>180</v>
      </c>
      <c r="M44" s="10" t="s">
        <v>181</v>
      </c>
      <c r="N44" s="10" t="s">
        <v>50</v>
      </c>
      <c r="O44" s="10" t="s">
        <v>182</v>
      </c>
      <c r="P44" s="11" t="s">
        <v>22</v>
      </c>
      <c r="Q44" s="11" t="s">
        <v>293</v>
      </c>
      <c r="R44" s="11" t="s">
        <v>298</v>
      </c>
      <c r="S44" s="11" t="s">
        <v>23</v>
      </c>
      <c r="T44" s="11"/>
      <c r="U44" s="11"/>
      <c r="V44" s="11"/>
      <c r="W44" s="11"/>
      <c r="X44" s="11"/>
      <c r="Y44" s="11"/>
      <c r="Z44" s="11"/>
      <c r="AA44" s="11" t="s">
        <v>24</v>
      </c>
      <c r="AB44" s="11" t="s">
        <v>183</v>
      </c>
      <c r="AC44" s="11" t="s">
        <v>187</v>
      </c>
      <c r="AD44" s="11" t="s">
        <v>185</v>
      </c>
      <c r="AE44" s="11" t="s">
        <v>371</v>
      </c>
      <c r="AF44" s="11"/>
      <c r="AG44" s="11" t="s">
        <v>334</v>
      </c>
      <c r="AH44" s="11" t="s">
        <v>26</v>
      </c>
      <c r="AI44" s="12">
        <v>46249</v>
      </c>
      <c r="AJ44" s="12">
        <v>46265</v>
      </c>
      <c r="AK44" s="12">
        <v>46238</v>
      </c>
      <c r="AL44" s="45"/>
      <c r="AM44" s="62">
        <f t="shared" si="0"/>
        <v>-46238</v>
      </c>
      <c r="AN44" s="11"/>
      <c r="AO44" s="11"/>
      <c r="AP44" s="11"/>
      <c r="AQ44" s="11" t="s">
        <v>3</v>
      </c>
      <c r="AR44" s="11"/>
      <c r="AS44" s="25"/>
    </row>
    <row r="45" spans="1:45" ht="15.6" customHeight="1" thickTop="1" thickBot="1" x14ac:dyDescent="0.35">
      <c r="A45" s="26" t="s">
        <v>205</v>
      </c>
      <c r="B45" s="13" t="s">
        <v>206</v>
      </c>
      <c r="C45" s="52">
        <v>24750</v>
      </c>
      <c r="D45" s="70"/>
      <c r="E45" s="70"/>
      <c r="F45" s="70"/>
      <c r="G45" s="70"/>
      <c r="H45" s="70"/>
      <c r="I45" s="70"/>
      <c r="J45" s="70"/>
      <c r="K45" s="9">
        <v>1</v>
      </c>
      <c r="L45" s="16" t="s">
        <v>319</v>
      </c>
      <c r="M45" s="16" t="s">
        <v>207</v>
      </c>
      <c r="N45" s="16" t="s">
        <v>208</v>
      </c>
      <c r="O45" s="16" t="s">
        <v>157</v>
      </c>
      <c r="P45" s="17" t="s">
        <v>102</v>
      </c>
      <c r="Q45" s="17"/>
      <c r="R45" s="17"/>
      <c r="S45" s="11" t="s">
        <v>23</v>
      </c>
      <c r="T45" s="11"/>
      <c r="U45" s="11"/>
      <c r="V45" s="11"/>
      <c r="W45" s="11"/>
      <c r="X45" s="11"/>
      <c r="Y45" s="11"/>
      <c r="Z45" s="11"/>
      <c r="AA45" s="11" t="s">
        <v>33</v>
      </c>
      <c r="AB45" s="11"/>
      <c r="AC45" s="11" t="s">
        <v>33</v>
      </c>
      <c r="AD45" s="11" t="s">
        <v>33</v>
      </c>
      <c r="AE45" s="11"/>
      <c r="AF45" s="11"/>
      <c r="AG45" s="11" t="s">
        <v>337</v>
      </c>
      <c r="AH45" s="11"/>
      <c r="AI45" s="11">
        <v>2027</v>
      </c>
      <c r="AJ45" s="11"/>
      <c r="AK45" s="11"/>
      <c r="AL45" s="45"/>
      <c r="AM45" s="62">
        <f t="shared" si="0"/>
        <v>0</v>
      </c>
      <c r="AN45" s="11"/>
      <c r="AO45" s="11"/>
      <c r="AP45" s="11"/>
      <c r="AQ45" s="10"/>
      <c r="AR45" s="11"/>
      <c r="AS45" s="25"/>
    </row>
    <row r="46" spans="1:45" ht="15.6" customHeight="1" thickTop="1" thickBot="1" x14ac:dyDescent="0.35">
      <c r="A46" s="26" t="s">
        <v>209</v>
      </c>
      <c r="B46" s="13" t="s">
        <v>210</v>
      </c>
      <c r="C46" s="52">
        <v>26400</v>
      </c>
      <c r="D46" s="70"/>
      <c r="E46" s="70"/>
      <c r="F46" s="70"/>
      <c r="G46" s="70"/>
      <c r="H46" s="70"/>
      <c r="I46" s="70"/>
      <c r="J46" s="70"/>
      <c r="K46" s="9">
        <v>1</v>
      </c>
      <c r="L46" s="16" t="s">
        <v>319</v>
      </c>
      <c r="M46" s="16" t="s">
        <v>207</v>
      </c>
      <c r="N46" s="16" t="s">
        <v>208</v>
      </c>
      <c r="O46" s="16" t="s">
        <v>157</v>
      </c>
      <c r="P46" s="17" t="s">
        <v>102</v>
      </c>
      <c r="Q46" s="17"/>
      <c r="R46" s="17"/>
      <c r="S46" s="11" t="s">
        <v>23</v>
      </c>
      <c r="T46" s="11"/>
      <c r="U46" s="11"/>
      <c r="V46" s="11"/>
      <c r="W46" s="11"/>
      <c r="X46" s="11"/>
      <c r="Y46" s="11"/>
      <c r="Z46" s="11"/>
      <c r="AA46" s="11" t="s">
        <v>33</v>
      </c>
      <c r="AB46" s="11"/>
      <c r="AC46" s="11" t="s">
        <v>33</v>
      </c>
      <c r="AD46" s="11" t="s">
        <v>33</v>
      </c>
      <c r="AE46" s="11"/>
      <c r="AF46" s="11"/>
      <c r="AG46" s="11" t="s">
        <v>337</v>
      </c>
      <c r="AH46" s="11"/>
      <c r="AI46" s="11">
        <v>2027</v>
      </c>
      <c r="AJ46" s="11"/>
      <c r="AK46" s="11"/>
      <c r="AL46" s="45"/>
      <c r="AM46" s="62">
        <f t="shared" si="0"/>
        <v>0</v>
      </c>
      <c r="AN46" s="11"/>
      <c r="AO46" s="11"/>
      <c r="AP46" s="11"/>
      <c r="AQ46" s="10"/>
      <c r="AR46" s="11"/>
      <c r="AS46" s="25"/>
    </row>
    <row r="47" spans="1:45" ht="15.6" customHeight="1" thickTop="1" thickBot="1" x14ac:dyDescent="0.35">
      <c r="A47" s="26" t="s">
        <v>211</v>
      </c>
      <c r="B47" s="13" t="s">
        <v>212</v>
      </c>
      <c r="C47" s="52">
        <v>24750</v>
      </c>
      <c r="D47" s="70"/>
      <c r="E47" s="70"/>
      <c r="F47" s="70"/>
      <c r="G47" s="70"/>
      <c r="H47" s="70"/>
      <c r="I47" s="70"/>
      <c r="J47" s="70"/>
      <c r="K47" s="9">
        <v>1</v>
      </c>
      <c r="L47" s="16" t="s">
        <v>213</v>
      </c>
      <c r="M47" s="10" t="s">
        <v>214</v>
      </c>
      <c r="N47" s="10" t="s">
        <v>215</v>
      </c>
      <c r="O47" s="10" t="s">
        <v>215</v>
      </c>
      <c r="P47" s="11" t="s">
        <v>32</v>
      </c>
      <c r="Q47" s="11"/>
      <c r="R47" s="11"/>
      <c r="S47" s="11" t="s">
        <v>23</v>
      </c>
      <c r="T47" s="11"/>
      <c r="U47" s="11"/>
      <c r="V47" s="11"/>
      <c r="W47" s="11"/>
      <c r="X47" s="11"/>
      <c r="Y47" s="11"/>
      <c r="Z47" s="11"/>
      <c r="AA47" s="11" t="s">
        <v>33</v>
      </c>
      <c r="AB47" s="11"/>
      <c r="AC47" s="11" t="s">
        <v>33</v>
      </c>
      <c r="AD47" s="11" t="s">
        <v>34</v>
      </c>
      <c r="AE47" s="11" t="s">
        <v>370</v>
      </c>
      <c r="AF47" s="11"/>
      <c r="AG47" s="11" t="s">
        <v>337</v>
      </c>
      <c r="AH47" s="11" t="s">
        <v>42</v>
      </c>
      <c r="AI47" s="11"/>
      <c r="AJ47" s="11"/>
      <c r="AK47" s="11"/>
      <c r="AL47" s="45"/>
      <c r="AM47" s="62">
        <f t="shared" si="0"/>
        <v>0</v>
      </c>
      <c r="AN47" s="11"/>
      <c r="AO47" s="11"/>
      <c r="AP47" s="11"/>
      <c r="AQ47" s="10"/>
      <c r="AR47" s="11"/>
      <c r="AS47" s="25" t="s">
        <v>216</v>
      </c>
    </row>
    <row r="48" spans="1:45" ht="15.6" customHeight="1" thickTop="1" thickBot="1" x14ac:dyDescent="0.35">
      <c r="A48" s="26" t="s">
        <v>26</v>
      </c>
      <c r="B48" s="10" t="s">
        <v>217</v>
      </c>
      <c r="C48" s="52"/>
      <c r="D48" s="71"/>
      <c r="E48" s="71"/>
      <c r="F48" s="71"/>
      <c r="G48" s="71"/>
      <c r="H48" s="71"/>
      <c r="I48" s="71"/>
      <c r="J48" s="71"/>
      <c r="K48" s="9">
        <v>1</v>
      </c>
      <c r="L48" s="16" t="s">
        <v>218</v>
      </c>
      <c r="M48" s="18" t="s">
        <v>219</v>
      </c>
      <c r="N48" s="10" t="s">
        <v>215</v>
      </c>
      <c r="O48" s="10" t="s">
        <v>215</v>
      </c>
      <c r="P48" s="11" t="s">
        <v>32</v>
      </c>
      <c r="Q48" s="11"/>
      <c r="R48" s="11"/>
      <c r="S48" s="11" t="s">
        <v>23</v>
      </c>
      <c r="T48" s="11"/>
      <c r="U48" s="11"/>
      <c r="V48" s="11"/>
      <c r="W48" s="11"/>
      <c r="X48" s="11"/>
      <c r="Y48" s="11"/>
      <c r="Z48" s="11"/>
      <c r="AA48" s="11" t="s">
        <v>33</v>
      </c>
      <c r="AB48" s="11"/>
      <c r="AC48" s="11" t="s">
        <v>33</v>
      </c>
      <c r="AD48" s="11" t="s">
        <v>33</v>
      </c>
      <c r="AE48" s="11" t="s">
        <v>370</v>
      </c>
      <c r="AF48" s="11"/>
      <c r="AG48" s="11"/>
      <c r="AH48" s="11" t="s">
        <v>33</v>
      </c>
      <c r="AI48" s="11"/>
      <c r="AJ48" s="11"/>
      <c r="AK48" s="11"/>
      <c r="AL48" s="45"/>
      <c r="AM48" s="62">
        <f t="shared" si="0"/>
        <v>0</v>
      </c>
      <c r="AN48" s="11"/>
      <c r="AO48" s="11"/>
      <c r="AP48" s="11"/>
      <c r="AQ48" s="10"/>
      <c r="AR48" s="11"/>
      <c r="AS48" s="25" t="s">
        <v>220</v>
      </c>
    </row>
    <row r="49" spans="1:45" ht="15.6" customHeight="1" thickTop="1" thickBot="1" x14ac:dyDescent="0.35">
      <c r="A49" s="26" t="s">
        <v>221</v>
      </c>
      <c r="B49" s="13" t="s">
        <v>222</v>
      </c>
      <c r="C49" s="52">
        <v>19800</v>
      </c>
      <c r="D49" s="70"/>
      <c r="E49" s="70"/>
      <c r="F49" s="70"/>
      <c r="G49" s="70"/>
      <c r="H49" s="70"/>
      <c r="I49" s="70"/>
      <c r="J49" s="70"/>
      <c r="K49" s="9">
        <v>1</v>
      </c>
      <c r="L49" s="16" t="s">
        <v>223</v>
      </c>
      <c r="M49" s="10" t="s">
        <v>224</v>
      </c>
      <c r="N49" s="10" t="s">
        <v>225</v>
      </c>
      <c r="O49" s="10" t="s">
        <v>76</v>
      </c>
      <c r="P49" s="11" t="s">
        <v>32</v>
      </c>
      <c r="Q49" s="11" t="s">
        <v>293</v>
      </c>
      <c r="R49" s="45" t="s">
        <v>299</v>
      </c>
      <c r="S49" s="11" t="s">
        <v>23</v>
      </c>
      <c r="T49" s="11"/>
      <c r="U49" s="11"/>
      <c r="V49" s="11"/>
      <c r="W49" s="11"/>
      <c r="X49" s="11"/>
      <c r="Y49" s="11"/>
      <c r="Z49" s="11"/>
      <c r="AA49" s="11" t="s">
        <v>226</v>
      </c>
      <c r="AB49" s="11" t="s">
        <v>290</v>
      </c>
      <c r="AC49" s="11" t="s">
        <v>227</v>
      </c>
      <c r="AD49" s="11" t="s">
        <v>228</v>
      </c>
      <c r="AE49" s="11" t="s">
        <v>370</v>
      </c>
      <c r="AF49" s="11"/>
      <c r="AG49" s="11" t="s">
        <v>333</v>
      </c>
      <c r="AH49" s="12">
        <v>46193</v>
      </c>
      <c r="AI49" s="12">
        <v>46197</v>
      </c>
      <c r="AJ49" s="12">
        <v>46254</v>
      </c>
      <c r="AK49" s="11"/>
      <c r="AL49" s="45"/>
      <c r="AM49" s="62">
        <f t="shared" si="0"/>
        <v>0</v>
      </c>
      <c r="AN49" s="11"/>
      <c r="AO49" s="11"/>
      <c r="AP49" s="11"/>
      <c r="AQ49" s="11" t="s">
        <v>3</v>
      </c>
      <c r="AR49" s="11"/>
      <c r="AS49" s="25"/>
    </row>
    <row r="50" spans="1:45" ht="15.6" customHeight="1" thickTop="1" thickBot="1" x14ac:dyDescent="0.35">
      <c r="A50" s="26" t="s">
        <v>229</v>
      </c>
      <c r="B50" s="13" t="s">
        <v>230</v>
      </c>
      <c r="C50" s="52">
        <v>13200</v>
      </c>
      <c r="D50" s="70"/>
      <c r="E50" s="70"/>
      <c r="F50" s="70"/>
      <c r="G50" s="70"/>
      <c r="H50" s="70"/>
      <c r="I50" s="70"/>
      <c r="J50" s="70"/>
      <c r="K50" s="9">
        <v>1</v>
      </c>
      <c r="L50" s="16" t="s">
        <v>231</v>
      </c>
      <c r="M50" s="10" t="s">
        <v>232</v>
      </c>
      <c r="N50" s="10" t="s">
        <v>225</v>
      </c>
      <c r="O50" s="10" t="s">
        <v>76</v>
      </c>
      <c r="P50" s="11" t="s">
        <v>32</v>
      </c>
      <c r="Q50" s="11" t="s">
        <v>293</v>
      </c>
      <c r="R50" s="45" t="s">
        <v>300</v>
      </c>
      <c r="S50" s="11" t="s">
        <v>23</v>
      </c>
      <c r="T50" s="11"/>
      <c r="U50" s="11"/>
      <c r="V50" s="11"/>
      <c r="W50" s="11"/>
      <c r="X50" s="11"/>
      <c r="Y50" s="11"/>
      <c r="Z50" s="11"/>
      <c r="AA50" s="11" t="s">
        <v>233</v>
      </c>
      <c r="AB50" s="11" t="s">
        <v>290</v>
      </c>
      <c r="AC50" s="11" t="s">
        <v>234</v>
      </c>
      <c r="AD50" s="11" t="s">
        <v>228</v>
      </c>
      <c r="AE50" s="11" t="s">
        <v>370</v>
      </c>
      <c r="AF50" s="11"/>
      <c r="AG50" s="11" t="s">
        <v>334</v>
      </c>
      <c r="AH50" s="12">
        <v>46193</v>
      </c>
      <c r="AI50" s="12">
        <v>46199</v>
      </c>
      <c r="AJ50" s="12">
        <v>46254</v>
      </c>
      <c r="AK50" s="11"/>
      <c r="AL50" s="45"/>
      <c r="AM50" s="62">
        <f t="shared" si="0"/>
        <v>0</v>
      </c>
      <c r="AN50" s="11"/>
      <c r="AO50" s="11"/>
      <c r="AP50" s="11"/>
      <c r="AQ50" s="11" t="s">
        <v>3</v>
      </c>
      <c r="AR50" s="11"/>
      <c r="AS50" s="25"/>
    </row>
    <row r="51" spans="1:45" ht="15.6" customHeight="1" thickTop="1" thickBot="1" x14ac:dyDescent="0.35">
      <c r="A51" s="26" t="s">
        <v>235</v>
      </c>
      <c r="B51" s="13" t="s">
        <v>236</v>
      </c>
      <c r="C51" s="52">
        <v>18700</v>
      </c>
      <c r="D51" s="70"/>
      <c r="E51" s="70"/>
      <c r="F51" s="70"/>
      <c r="G51" s="70"/>
      <c r="H51" s="70"/>
      <c r="I51" s="70"/>
      <c r="J51" s="70"/>
      <c r="K51" s="9">
        <v>1</v>
      </c>
      <c r="L51" s="16" t="s">
        <v>237</v>
      </c>
      <c r="M51" s="10" t="s">
        <v>238</v>
      </c>
      <c r="N51" s="10" t="s">
        <v>50</v>
      </c>
      <c r="O51" s="10" t="s">
        <v>239</v>
      </c>
      <c r="P51" s="11" t="s">
        <v>32</v>
      </c>
      <c r="Q51" s="11"/>
      <c r="R51" s="11"/>
      <c r="S51" s="11" t="s">
        <v>23</v>
      </c>
      <c r="T51" s="11"/>
      <c r="U51" s="11"/>
      <c r="V51" s="11"/>
      <c r="W51" s="11"/>
      <c r="X51" s="11"/>
      <c r="Y51" s="11"/>
      <c r="Z51" s="11"/>
      <c r="AA51" s="11" t="s">
        <v>139</v>
      </c>
      <c r="AB51" s="11"/>
      <c r="AC51" s="11" t="s">
        <v>140</v>
      </c>
      <c r="AD51" s="11" t="s">
        <v>34</v>
      </c>
      <c r="AE51" s="11" t="s">
        <v>370</v>
      </c>
      <c r="AF51" s="11"/>
      <c r="AG51" s="11" t="s">
        <v>333</v>
      </c>
      <c r="AH51" s="12">
        <v>46230</v>
      </c>
      <c r="AI51" s="12">
        <v>46251</v>
      </c>
      <c r="AJ51" s="12">
        <v>46283</v>
      </c>
      <c r="AK51" s="11"/>
      <c r="AL51" s="45"/>
      <c r="AM51" s="62">
        <f t="shared" si="0"/>
        <v>0</v>
      </c>
      <c r="AN51" s="11"/>
      <c r="AO51" s="11"/>
      <c r="AP51" s="11"/>
      <c r="AQ51" s="10"/>
      <c r="AR51" s="11"/>
      <c r="AS51" s="25" t="s">
        <v>240</v>
      </c>
    </row>
    <row r="52" spans="1:45" ht="15.6" customHeight="1" thickTop="1" thickBot="1" x14ac:dyDescent="0.35">
      <c r="A52" s="26" t="s">
        <v>241</v>
      </c>
      <c r="B52" s="13" t="s">
        <v>242</v>
      </c>
      <c r="C52" s="52">
        <v>19800</v>
      </c>
      <c r="D52" s="70"/>
      <c r="E52" s="70"/>
      <c r="F52" s="70"/>
      <c r="G52" s="70"/>
      <c r="H52" s="70"/>
      <c r="I52" s="70"/>
      <c r="J52" s="70"/>
      <c r="K52" s="9">
        <v>1</v>
      </c>
      <c r="L52" s="16" t="s">
        <v>243</v>
      </c>
      <c r="M52" s="10" t="s">
        <v>244</v>
      </c>
      <c r="N52" s="10" t="s">
        <v>225</v>
      </c>
      <c r="O52" s="10" t="s">
        <v>76</v>
      </c>
      <c r="P52" s="11" t="s">
        <v>32</v>
      </c>
      <c r="Q52" s="11"/>
      <c r="R52" s="11"/>
      <c r="S52" s="11" t="s">
        <v>23</v>
      </c>
      <c r="T52" s="11"/>
      <c r="U52" s="11"/>
      <c r="V52" s="11"/>
      <c r="W52" s="11"/>
      <c r="X52" s="11"/>
      <c r="Y52" s="11"/>
      <c r="Z52" s="11"/>
      <c r="AA52" s="11" t="s">
        <v>177</v>
      </c>
      <c r="AB52" s="11" t="s">
        <v>343</v>
      </c>
      <c r="AC52" s="11" t="s">
        <v>177</v>
      </c>
      <c r="AD52" s="11" t="s">
        <v>34</v>
      </c>
      <c r="AE52" s="11" t="s">
        <v>370</v>
      </c>
      <c r="AF52" s="11"/>
      <c r="AG52" s="11" t="s">
        <v>333</v>
      </c>
      <c r="AH52" s="12">
        <v>46254</v>
      </c>
      <c r="AI52" s="12">
        <v>46265</v>
      </c>
      <c r="AJ52" s="12">
        <f>AI52+35</f>
        <v>46300</v>
      </c>
      <c r="AK52" s="11"/>
      <c r="AL52" s="45"/>
      <c r="AM52" s="62">
        <f t="shared" si="0"/>
        <v>0</v>
      </c>
      <c r="AN52" s="11"/>
      <c r="AO52" s="11"/>
      <c r="AP52" s="11"/>
      <c r="AQ52" s="11" t="s">
        <v>3</v>
      </c>
      <c r="AR52" s="12">
        <v>46226</v>
      </c>
      <c r="AS52" s="25" t="s">
        <v>361</v>
      </c>
    </row>
    <row r="53" spans="1:45" ht="15.6" customHeight="1" thickTop="1" thickBot="1" x14ac:dyDescent="0.35">
      <c r="A53" s="26" t="s">
        <v>245</v>
      </c>
      <c r="B53" s="13" t="s">
        <v>246</v>
      </c>
      <c r="C53" s="52"/>
      <c r="D53" s="70"/>
      <c r="E53" s="70"/>
      <c r="F53" s="70"/>
      <c r="G53" s="70"/>
      <c r="H53" s="70"/>
      <c r="I53" s="70"/>
      <c r="J53" s="70"/>
      <c r="K53" s="9">
        <v>1</v>
      </c>
      <c r="L53" s="16" t="s">
        <v>247</v>
      </c>
      <c r="M53" s="10" t="s">
        <v>248</v>
      </c>
      <c r="N53" s="10" t="s">
        <v>249</v>
      </c>
      <c r="O53" s="10" t="s">
        <v>250</v>
      </c>
      <c r="P53" s="11" t="s">
        <v>251</v>
      </c>
      <c r="Q53" s="9" t="s">
        <v>329</v>
      </c>
      <c r="R53" s="9" t="s">
        <v>329</v>
      </c>
      <c r="S53" s="11" t="s">
        <v>63</v>
      </c>
      <c r="T53" s="11"/>
      <c r="U53" s="11"/>
      <c r="V53" s="11"/>
      <c r="W53" s="11" t="s">
        <v>3</v>
      </c>
      <c r="X53" s="11"/>
      <c r="Y53" s="11"/>
      <c r="Z53" s="11"/>
      <c r="AA53" s="11" t="s">
        <v>3</v>
      </c>
      <c r="AB53" s="11"/>
      <c r="AC53" s="11" t="s">
        <v>3</v>
      </c>
      <c r="AD53" s="11" t="s">
        <v>3</v>
      </c>
      <c r="AE53" s="11"/>
      <c r="AF53" s="11"/>
      <c r="AG53" s="11"/>
      <c r="AH53" s="11" t="s">
        <v>3</v>
      </c>
      <c r="AI53" s="11" t="s">
        <v>3</v>
      </c>
      <c r="AJ53" s="11" t="s">
        <v>3</v>
      </c>
      <c r="AK53" s="11" t="s">
        <v>3</v>
      </c>
      <c r="AL53" s="45" t="s">
        <v>3</v>
      </c>
      <c r="AM53" s="62" t="e">
        <f t="shared" si="0"/>
        <v>#VALUE!</v>
      </c>
      <c r="AN53" s="11"/>
      <c r="AO53" s="11"/>
      <c r="AP53" s="11"/>
      <c r="AQ53" s="11" t="s">
        <v>106</v>
      </c>
      <c r="AR53" s="11"/>
      <c r="AS53" s="25"/>
    </row>
    <row r="54" spans="1:45" ht="15.6" customHeight="1" thickTop="1" thickBot="1" x14ac:dyDescent="0.35">
      <c r="A54" s="26" t="s">
        <v>252</v>
      </c>
      <c r="B54" s="13" t="s">
        <v>246</v>
      </c>
      <c r="C54" s="52"/>
      <c r="D54" s="70"/>
      <c r="E54" s="70"/>
      <c r="F54" s="70"/>
      <c r="G54" s="70"/>
      <c r="H54" s="70"/>
      <c r="I54" s="70"/>
      <c r="J54" s="70"/>
      <c r="K54" s="9">
        <v>1</v>
      </c>
      <c r="L54" s="16" t="s">
        <v>247</v>
      </c>
      <c r="M54" s="10" t="s">
        <v>248</v>
      </c>
      <c r="N54" s="10" t="s">
        <v>249</v>
      </c>
      <c r="O54" s="10" t="s">
        <v>250</v>
      </c>
      <c r="P54" s="11" t="s">
        <v>251</v>
      </c>
      <c r="Q54" s="9" t="s">
        <v>329</v>
      </c>
      <c r="R54" s="9" t="s">
        <v>329</v>
      </c>
      <c r="S54" s="11" t="s">
        <v>63</v>
      </c>
      <c r="T54" s="11"/>
      <c r="U54" s="11"/>
      <c r="V54" s="11"/>
      <c r="W54" s="11" t="s">
        <v>3</v>
      </c>
      <c r="X54" s="11"/>
      <c r="Y54" s="11"/>
      <c r="Z54" s="11"/>
      <c r="AA54" s="11" t="s">
        <v>3</v>
      </c>
      <c r="AB54" s="11"/>
      <c r="AC54" s="11" t="s">
        <v>3</v>
      </c>
      <c r="AD54" s="11" t="s">
        <v>3</v>
      </c>
      <c r="AE54" s="11"/>
      <c r="AF54" s="11"/>
      <c r="AG54" s="11"/>
      <c r="AH54" s="11" t="s">
        <v>3</v>
      </c>
      <c r="AI54" s="11" t="s">
        <v>3</v>
      </c>
      <c r="AJ54" s="11" t="s">
        <v>3</v>
      </c>
      <c r="AK54" s="11" t="s">
        <v>3</v>
      </c>
      <c r="AL54" s="45" t="s">
        <v>3</v>
      </c>
      <c r="AM54" s="62" t="e">
        <f t="shared" si="0"/>
        <v>#VALUE!</v>
      </c>
      <c r="AN54" s="11"/>
      <c r="AO54" s="11"/>
      <c r="AP54" s="11"/>
      <c r="AQ54" s="11" t="s">
        <v>106</v>
      </c>
      <c r="AR54" s="11"/>
      <c r="AS54" s="25"/>
    </row>
    <row r="55" spans="1:45" ht="15.6" customHeight="1" thickTop="1" thickBot="1" x14ac:dyDescent="0.35">
      <c r="A55" s="26" t="s">
        <v>253</v>
      </c>
      <c r="B55" s="13" t="s">
        <v>254</v>
      </c>
      <c r="C55" s="52">
        <v>11000</v>
      </c>
      <c r="D55" s="70"/>
      <c r="E55" s="70"/>
      <c r="F55" s="70"/>
      <c r="G55" s="70"/>
      <c r="H55" s="70"/>
      <c r="I55" s="70"/>
      <c r="J55" s="70"/>
      <c r="K55" s="9">
        <v>1</v>
      </c>
      <c r="L55" s="16" t="s">
        <v>255</v>
      </c>
      <c r="M55" s="22" t="s">
        <v>256</v>
      </c>
      <c r="N55" s="22" t="s">
        <v>257</v>
      </c>
      <c r="O55" s="22" t="s">
        <v>76</v>
      </c>
      <c r="P55" s="9" t="s">
        <v>32</v>
      </c>
      <c r="Q55" s="9"/>
      <c r="R55" s="9"/>
      <c r="S55" s="11" t="s">
        <v>23</v>
      </c>
      <c r="T55" s="11"/>
      <c r="U55" s="11"/>
      <c r="V55" s="11"/>
      <c r="W55" s="11"/>
      <c r="X55" s="11"/>
      <c r="Y55" s="11"/>
      <c r="Z55" s="11"/>
      <c r="AA55" s="11" t="s">
        <v>33</v>
      </c>
      <c r="AB55" s="11"/>
      <c r="AC55" s="11" t="s">
        <v>33</v>
      </c>
      <c r="AD55" s="11" t="s">
        <v>55</v>
      </c>
      <c r="AE55" s="11" t="s">
        <v>370</v>
      </c>
      <c r="AF55" s="11"/>
      <c r="AG55" s="11" t="s">
        <v>334</v>
      </c>
      <c r="AH55" s="11" t="s">
        <v>33</v>
      </c>
      <c r="AI55" s="11" t="s">
        <v>33</v>
      </c>
      <c r="AJ55" s="11" t="s">
        <v>33</v>
      </c>
      <c r="AK55" s="11"/>
      <c r="AL55" s="45"/>
      <c r="AM55" s="62">
        <f t="shared" si="0"/>
        <v>0</v>
      </c>
      <c r="AN55" s="11"/>
      <c r="AO55" s="11"/>
      <c r="AP55" s="11"/>
      <c r="AQ55" s="11" t="s">
        <v>258</v>
      </c>
      <c r="AR55" s="11"/>
      <c r="AS55" s="25"/>
    </row>
    <row r="56" spans="1:45" ht="15.6" customHeight="1" thickTop="1" thickBot="1" x14ac:dyDescent="0.35">
      <c r="A56" s="26" t="s">
        <v>303</v>
      </c>
      <c r="B56" s="47" t="s">
        <v>302</v>
      </c>
      <c r="C56" s="52">
        <v>11550</v>
      </c>
      <c r="D56" s="70"/>
      <c r="E56" s="70"/>
      <c r="F56" s="70"/>
      <c r="G56" s="70"/>
      <c r="H56" s="70"/>
      <c r="I56" s="70"/>
      <c r="J56" s="70"/>
      <c r="K56" s="9">
        <v>1</v>
      </c>
      <c r="L56" s="48" t="s">
        <v>301</v>
      </c>
      <c r="M56" s="22" t="s">
        <v>306</v>
      </c>
      <c r="N56" s="22" t="s">
        <v>304</v>
      </c>
      <c r="O56" s="22" t="s">
        <v>305</v>
      </c>
      <c r="P56" s="9" t="s">
        <v>251</v>
      </c>
      <c r="Q56" s="9"/>
      <c r="R56" s="9"/>
      <c r="S56" s="11" t="s">
        <v>23</v>
      </c>
      <c r="T56" s="11"/>
      <c r="U56" s="11"/>
      <c r="V56" s="11"/>
      <c r="W56" s="11"/>
      <c r="X56" s="11"/>
      <c r="Y56" s="11"/>
      <c r="Z56" s="11"/>
      <c r="AA56" s="11" t="s">
        <v>33</v>
      </c>
      <c r="AB56" s="11"/>
      <c r="AC56" s="11" t="s">
        <v>33</v>
      </c>
      <c r="AD56" s="11" t="s">
        <v>33</v>
      </c>
      <c r="AE56" s="11"/>
      <c r="AF56" s="11"/>
      <c r="AG56" s="11" t="s">
        <v>334</v>
      </c>
      <c r="AH56" s="11" t="s">
        <v>33</v>
      </c>
      <c r="AI56" s="11" t="s">
        <v>33</v>
      </c>
      <c r="AJ56" s="11" t="s">
        <v>33</v>
      </c>
      <c r="AK56" s="11"/>
      <c r="AL56" s="45"/>
      <c r="AM56" s="62">
        <f t="shared" si="0"/>
        <v>0</v>
      </c>
      <c r="AN56" s="11"/>
      <c r="AO56" s="11"/>
      <c r="AP56" s="11"/>
      <c r="AQ56" s="11" t="s">
        <v>106</v>
      </c>
      <c r="AR56" s="11"/>
      <c r="AS56" s="25" t="s">
        <v>314</v>
      </c>
    </row>
    <row r="57" spans="1:45" ht="15.6" customHeight="1" thickTop="1" thickBot="1" x14ac:dyDescent="0.35">
      <c r="A57" s="49" t="s">
        <v>307</v>
      </c>
      <c r="B57" s="47" t="s">
        <v>308</v>
      </c>
      <c r="C57" s="52">
        <v>19800</v>
      </c>
      <c r="D57" s="70"/>
      <c r="E57" s="70"/>
      <c r="F57" s="70"/>
      <c r="G57" s="70"/>
      <c r="H57" s="70"/>
      <c r="I57" s="70"/>
      <c r="J57" s="70"/>
      <c r="K57" s="9">
        <v>1</v>
      </c>
      <c r="L57" s="50" t="s">
        <v>309</v>
      </c>
      <c r="M57" s="22" t="s">
        <v>315</v>
      </c>
      <c r="N57" s="22" t="s">
        <v>316</v>
      </c>
      <c r="O57" s="22" t="s">
        <v>317</v>
      </c>
      <c r="P57" s="9" t="s">
        <v>318</v>
      </c>
      <c r="Q57" s="9"/>
      <c r="R57" s="9"/>
      <c r="S57" s="11" t="s">
        <v>23</v>
      </c>
      <c r="T57" s="11"/>
      <c r="U57" s="11"/>
      <c r="V57" s="11"/>
      <c r="W57" s="11"/>
      <c r="X57" s="11"/>
      <c r="Y57" s="11"/>
      <c r="Z57" s="11"/>
      <c r="AA57" s="11" t="s">
        <v>150</v>
      </c>
      <c r="AB57" s="11"/>
      <c r="AC57" s="11" t="s">
        <v>33</v>
      </c>
      <c r="AD57" s="11" t="s">
        <v>33</v>
      </c>
      <c r="AE57" s="11"/>
      <c r="AF57" s="11"/>
      <c r="AG57" s="11" t="s">
        <v>333</v>
      </c>
      <c r="AH57" s="11" t="s">
        <v>33</v>
      </c>
      <c r="AI57" s="11" t="s">
        <v>33</v>
      </c>
      <c r="AJ57" s="11" t="s">
        <v>33</v>
      </c>
      <c r="AK57" s="11"/>
      <c r="AL57" s="45"/>
      <c r="AM57" s="62">
        <f t="shared" si="0"/>
        <v>0</v>
      </c>
      <c r="AN57" s="11"/>
      <c r="AO57" s="11"/>
      <c r="AP57" s="11"/>
      <c r="AQ57" s="11"/>
      <c r="AR57" s="11"/>
      <c r="AS57" s="25"/>
    </row>
    <row r="58" spans="1:45" ht="15.6" customHeight="1" thickTop="1" thickBot="1" x14ac:dyDescent="0.35">
      <c r="A58" s="49" t="s">
        <v>320</v>
      </c>
      <c r="B58" s="47" t="s">
        <v>310</v>
      </c>
      <c r="C58" s="52">
        <v>11550</v>
      </c>
      <c r="D58" s="70"/>
      <c r="E58" s="70"/>
      <c r="F58" s="70"/>
      <c r="G58" s="70"/>
      <c r="H58" s="70"/>
      <c r="I58" s="70"/>
      <c r="J58" s="70"/>
      <c r="K58" s="9">
        <v>1</v>
      </c>
      <c r="L58" s="48" t="s">
        <v>311</v>
      </c>
      <c r="M58" s="22" t="s">
        <v>312</v>
      </c>
      <c r="N58" s="22" t="s">
        <v>313</v>
      </c>
      <c r="O58" s="22" t="s">
        <v>76</v>
      </c>
      <c r="P58" s="9" t="s">
        <v>32</v>
      </c>
      <c r="Q58" s="9"/>
      <c r="R58" s="9"/>
      <c r="S58" s="11" t="s">
        <v>23</v>
      </c>
      <c r="T58" s="11"/>
      <c r="U58" s="11"/>
      <c r="V58" s="11"/>
      <c r="W58" s="11"/>
      <c r="X58" s="11"/>
      <c r="Y58" s="11"/>
      <c r="Z58" s="11"/>
      <c r="AA58" s="11" t="s">
        <v>33</v>
      </c>
      <c r="AB58" s="11"/>
      <c r="AC58" s="11" t="s">
        <v>33</v>
      </c>
      <c r="AD58" s="11" t="s">
        <v>33</v>
      </c>
      <c r="AE58" s="11"/>
      <c r="AF58" s="11"/>
      <c r="AG58" s="11" t="s">
        <v>334</v>
      </c>
      <c r="AH58" s="11" t="s">
        <v>33</v>
      </c>
      <c r="AI58" s="11" t="s">
        <v>33</v>
      </c>
      <c r="AJ58" s="11" t="s">
        <v>33</v>
      </c>
      <c r="AK58" s="11"/>
      <c r="AL58" s="45"/>
      <c r="AM58" s="62">
        <f t="shared" si="0"/>
        <v>0</v>
      </c>
      <c r="AN58" s="11"/>
      <c r="AO58" s="11"/>
      <c r="AP58" s="11"/>
      <c r="AQ58" s="11" t="s">
        <v>106</v>
      </c>
      <c r="AR58" s="11"/>
      <c r="AS58" s="25" t="s">
        <v>314</v>
      </c>
    </row>
    <row r="59" spans="1:45" ht="15.6" customHeight="1" thickTop="1" thickBot="1" x14ac:dyDescent="0.35">
      <c r="A59" s="28" t="s">
        <v>259</v>
      </c>
      <c r="B59" s="13" t="s">
        <v>260</v>
      </c>
      <c r="C59" s="52"/>
      <c r="D59" s="70"/>
      <c r="E59" s="70"/>
      <c r="F59" s="70"/>
      <c r="G59" s="70"/>
      <c r="H59" s="70"/>
      <c r="I59" s="70"/>
      <c r="J59" s="70"/>
      <c r="K59" s="9">
        <v>1</v>
      </c>
      <c r="L59" s="14" t="s">
        <v>261</v>
      </c>
      <c r="M59" s="10" t="s">
        <v>262</v>
      </c>
      <c r="N59" s="10" t="s">
        <v>263</v>
      </c>
      <c r="O59" s="10" t="s">
        <v>76</v>
      </c>
      <c r="P59" s="11" t="s">
        <v>32</v>
      </c>
      <c r="Q59" s="11"/>
      <c r="R59" s="11"/>
      <c r="S59" s="11" t="s">
        <v>23</v>
      </c>
      <c r="T59" s="11"/>
      <c r="U59" s="11"/>
      <c r="V59" s="11"/>
      <c r="W59" s="11"/>
      <c r="X59" s="11"/>
      <c r="Y59" s="11"/>
      <c r="Z59" s="11"/>
      <c r="AA59" s="11" t="s">
        <v>33</v>
      </c>
      <c r="AB59" s="11"/>
      <c r="AC59" s="11" t="s">
        <v>33</v>
      </c>
      <c r="AD59" s="11" t="s">
        <v>33</v>
      </c>
      <c r="AE59" s="11"/>
      <c r="AF59" s="11"/>
      <c r="AG59" s="11"/>
      <c r="AH59" s="11" t="s">
        <v>33</v>
      </c>
      <c r="AI59" s="11" t="s">
        <v>33</v>
      </c>
      <c r="AJ59" s="11" t="s">
        <v>33</v>
      </c>
      <c r="AK59" s="11"/>
      <c r="AL59" s="45"/>
      <c r="AM59" s="62">
        <f t="shared" si="0"/>
        <v>0</v>
      </c>
      <c r="AN59" s="11"/>
      <c r="AO59" s="11"/>
      <c r="AP59" s="11"/>
      <c r="AQ59" s="11" t="s">
        <v>258</v>
      </c>
      <c r="AR59" s="11"/>
      <c r="AS59" s="25"/>
    </row>
    <row r="60" spans="1:45" ht="15.6" customHeight="1" thickTop="1" thickBot="1" x14ac:dyDescent="0.35">
      <c r="A60" s="24" t="s">
        <v>264</v>
      </c>
      <c r="B60" s="13" t="s">
        <v>260</v>
      </c>
      <c r="C60" s="52"/>
      <c r="D60" s="70"/>
      <c r="E60" s="70"/>
      <c r="F60" s="70"/>
      <c r="G60" s="70"/>
      <c r="H60" s="70"/>
      <c r="I60" s="70"/>
      <c r="J60" s="70"/>
      <c r="K60" s="9">
        <v>1</v>
      </c>
      <c r="L60" s="14" t="s">
        <v>261</v>
      </c>
      <c r="M60" s="10" t="s">
        <v>262</v>
      </c>
      <c r="N60" s="10" t="s">
        <v>263</v>
      </c>
      <c r="O60" s="10" t="s">
        <v>76</v>
      </c>
      <c r="P60" s="11" t="s">
        <v>32</v>
      </c>
      <c r="Q60" s="11"/>
      <c r="R60" s="11"/>
      <c r="S60" s="11" t="s">
        <v>23</v>
      </c>
      <c r="T60" s="11"/>
      <c r="U60" s="11"/>
      <c r="V60" s="11"/>
      <c r="W60" s="11"/>
      <c r="X60" s="11"/>
      <c r="Y60" s="11"/>
      <c r="Z60" s="11"/>
      <c r="AA60" s="11" t="s">
        <v>33</v>
      </c>
      <c r="AB60" s="11"/>
      <c r="AC60" s="11" t="s">
        <v>33</v>
      </c>
      <c r="AD60" s="11" t="s">
        <v>33</v>
      </c>
      <c r="AE60" s="11"/>
      <c r="AF60" s="11"/>
      <c r="AG60" s="11"/>
      <c r="AH60" s="11" t="s">
        <v>33</v>
      </c>
      <c r="AI60" s="11" t="s">
        <v>33</v>
      </c>
      <c r="AJ60" s="11" t="s">
        <v>33</v>
      </c>
      <c r="AK60" s="11"/>
      <c r="AL60" s="45"/>
      <c r="AM60" s="62">
        <f t="shared" si="0"/>
        <v>0</v>
      </c>
      <c r="AN60" s="11"/>
      <c r="AO60" s="11"/>
      <c r="AP60" s="11"/>
      <c r="AQ60" s="11" t="s">
        <v>258</v>
      </c>
      <c r="AR60" s="11"/>
      <c r="AS60" s="25"/>
    </row>
    <row r="61" spans="1:45" ht="15.6" customHeight="1" thickTop="1" thickBot="1" x14ac:dyDescent="0.35">
      <c r="A61" s="26" t="s">
        <v>265</v>
      </c>
      <c r="B61" s="20" t="s">
        <v>266</v>
      </c>
      <c r="C61" s="52">
        <v>12100</v>
      </c>
      <c r="D61" s="72"/>
      <c r="E61" s="72"/>
      <c r="F61" s="72"/>
      <c r="G61" s="72"/>
      <c r="H61" s="72"/>
      <c r="I61" s="72"/>
      <c r="J61" s="72"/>
      <c r="K61" s="11">
        <v>1</v>
      </c>
      <c r="L61" s="16" t="s">
        <v>267</v>
      </c>
      <c r="M61" s="10" t="s">
        <v>268</v>
      </c>
      <c r="N61" s="10" t="s">
        <v>269</v>
      </c>
      <c r="O61" s="10" t="s">
        <v>148</v>
      </c>
      <c r="P61" s="11" t="s">
        <v>149</v>
      </c>
      <c r="Q61" s="11"/>
      <c r="R61" s="11"/>
      <c r="S61" s="11" t="s">
        <v>23</v>
      </c>
      <c r="T61" s="11"/>
      <c r="U61" s="11"/>
      <c r="V61" s="11"/>
      <c r="W61" s="11"/>
      <c r="X61" s="11"/>
      <c r="Y61" s="11"/>
      <c r="Z61" s="11"/>
      <c r="AA61" s="11" t="s">
        <v>33</v>
      </c>
      <c r="AB61" s="11"/>
      <c r="AC61" s="11" t="s">
        <v>33</v>
      </c>
      <c r="AD61" s="11" t="s">
        <v>33</v>
      </c>
      <c r="AE61" s="11"/>
      <c r="AF61" s="11"/>
      <c r="AG61" s="11" t="s">
        <v>334</v>
      </c>
      <c r="AH61" s="11" t="s">
        <v>33</v>
      </c>
      <c r="AI61" s="11" t="s">
        <v>33</v>
      </c>
      <c r="AJ61" s="11" t="s">
        <v>33</v>
      </c>
      <c r="AK61" s="11"/>
      <c r="AL61" s="45"/>
      <c r="AM61" s="62">
        <f t="shared" si="0"/>
        <v>0</v>
      </c>
      <c r="AN61" s="11"/>
      <c r="AO61" s="11"/>
      <c r="AP61" s="11"/>
      <c r="AQ61" s="11" t="s">
        <v>258</v>
      </c>
      <c r="AR61" s="11"/>
      <c r="AS61" s="25"/>
    </row>
    <row r="62" spans="1:45" ht="15.6" customHeight="1" thickTop="1" thickBot="1" x14ac:dyDescent="0.35">
      <c r="A62" s="26" t="s">
        <v>270</v>
      </c>
      <c r="B62" s="13" t="s">
        <v>271</v>
      </c>
      <c r="C62" s="52"/>
      <c r="D62" s="70"/>
      <c r="E62" s="70"/>
      <c r="F62" s="70"/>
      <c r="G62" s="70"/>
      <c r="H62" s="70"/>
      <c r="I62" s="70"/>
      <c r="J62" s="70"/>
      <c r="K62" s="11">
        <v>1</v>
      </c>
      <c r="L62" s="16" t="s">
        <v>272</v>
      </c>
      <c r="M62" s="10" t="s">
        <v>273</v>
      </c>
      <c r="N62" s="10" t="s">
        <v>274</v>
      </c>
      <c r="O62" s="10" t="s">
        <v>275</v>
      </c>
      <c r="P62" s="11" t="s">
        <v>32</v>
      </c>
      <c r="Q62" s="11"/>
      <c r="R62" s="11"/>
      <c r="S62" s="11" t="s">
        <v>23</v>
      </c>
      <c r="T62" s="11"/>
      <c r="U62" s="11"/>
      <c r="V62" s="11"/>
      <c r="W62" s="11"/>
      <c r="X62" s="11"/>
      <c r="Y62" s="11"/>
      <c r="Z62" s="11"/>
      <c r="AA62" s="11" t="s">
        <v>33</v>
      </c>
      <c r="AB62" s="11"/>
      <c r="AC62" s="11" t="s">
        <v>33</v>
      </c>
      <c r="AD62" s="11" t="s">
        <v>55</v>
      </c>
      <c r="AE62" s="11" t="s">
        <v>370</v>
      </c>
      <c r="AF62" s="11"/>
      <c r="AG62" s="11"/>
      <c r="AH62" s="11" t="s">
        <v>33</v>
      </c>
      <c r="AI62" s="11" t="s">
        <v>33</v>
      </c>
      <c r="AJ62" s="11" t="s">
        <v>33</v>
      </c>
      <c r="AK62" s="11"/>
      <c r="AL62" s="45"/>
      <c r="AM62" s="62">
        <f t="shared" si="0"/>
        <v>0</v>
      </c>
      <c r="AN62" s="11"/>
      <c r="AO62" s="11"/>
      <c r="AP62" s="11"/>
      <c r="AQ62" s="11" t="s">
        <v>258</v>
      </c>
      <c r="AR62" s="11"/>
      <c r="AS62" s="25"/>
    </row>
    <row r="63" spans="1:45" ht="15.6" customHeight="1" thickTop="1" thickBot="1" x14ac:dyDescent="0.35">
      <c r="A63" s="26" t="s">
        <v>276</v>
      </c>
      <c r="B63" s="13" t="s">
        <v>277</v>
      </c>
      <c r="C63" s="52"/>
      <c r="D63" s="70"/>
      <c r="E63" s="70"/>
      <c r="F63" s="70"/>
      <c r="G63" s="70"/>
      <c r="H63" s="70"/>
      <c r="I63" s="70"/>
      <c r="J63" s="70"/>
      <c r="K63" s="11">
        <v>1</v>
      </c>
      <c r="L63" s="16" t="s">
        <v>272</v>
      </c>
      <c r="M63" s="10" t="s">
        <v>273</v>
      </c>
      <c r="N63" s="10" t="s">
        <v>274</v>
      </c>
      <c r="O63" s="10" t="s">
        <v>275</v>
      </c>
      <c r="P63" s="11" t="s">
        <v>32</v>
      </c>
      <c r="Q63" s="11"/>
      <c r="R63" s="11"/>
      <c r="S63" s="11" t="s">
        <v>23</v>
      </c>
      <c r="T63" s="11"/>
      <c r="U63" s="11"/>
      <c r="V63" s="11"/>
      <c r="W63" s="11"/>
      <c r="X63" s="11"/>
      <c r="Y63" s="11"/>
      <c r="Z63" s="11"/>
      <c r="AA63" s="11" t="s">
        <v>33</v>
      </c>
      <c r="AB63" s="11"/>
      <c r="AC63" s="11" t="s">
        <v>33</v>
      </c>
      <c r="AD63" s="11" t="s">
        <v>55</v>
      </c>
      <c r="AE63" s="11" t="s">
        <v>370</v>
      </c>
      <c r="AF63" s="11"/>
      <c r="AG63" s="11"/>
      <c r="AH63" s="11" t="s">
        <v>33</v>
      </c>
      <c r="AI63" s="11" t="s">
        <v>33</v>
      </c>
      <c r="AJ63" s="11" t="s">
        <v>33</v>
      </c>
      <c r="AK63" s="11"/>
      <c r="AL63" s="45"/>
      <c r="AM63" s="62">
        <f t="shared" si="0"/>
        <v>0</v>
      </c>
      <c r="AN63" s="11"/>
      <c r="AO63" s="11"/>
      <c r="AP63" s="11"/>
      <c r="AQ63" s="11" t="s">
        <v>258</v>
      </c>
      <c r="AR63" s="11"/>
      <c r="AS63" s="25"/>
    </row>
    <row r="64" spans="1:45" ht="15.6" customHeight="1" thickTop="1" thickBot="1" x14ac:dyDescent="0.35">
      <c r="A64" s="24" t="s">
        <v>26</v>
      </c>
      <c r="B64" s="10" t="s">
        <v>278</v>
      </c>
      <c r="C64" s="52"/>
      <c r="D64" s="71"/>
      <c r="E64" s="71"/>
      <c r="F64" s="71"/>
      <c r="G64" s="71"/>
      <c r="H64" s="71"/>
      <c r="I64" s="71"/>
      <c r="J64" s="71"/>
      <c r="K64" s="11">
        <v>1</v>
      </c>
      <c r="L64" s="10" t="s">
        <v>279</v>
      </c>
      <c r="M64" s="23" t="s">
        <v>280</v>
      </c>
      <c r="N64" s="10" t="s">
        <v>50</v>
      </c>
      <c r="O64" s="10" t="s">
        <v>281</v>
      </c>
      <c r="P64" s="11" t="s">
        <v>282</v>
      </c>
      <c r="Q64" s="11"/>
      <c r="R64" s="11"/>
      <c r="S64" s="11" t="s">
        <v>23</v>
      </c>
      <c r="T64" s="11"/>
      <c r="U64" s="11"/>
      <c r="V64" s="11"/>
      <c r="W64" s="11"/>
      <c r="X64" s="11"/>
      <c r="Y64" s="11"/>
      <c r="Z64" s="11"/>
      <c r="AA64" s="11" t="s">
        <v>150</v>
      </c>
      <c r="AB64" s="11" t="s">
        <v>283</v>
      </c>
      <c r="AC64" s="11" t="s">
        <v>151</v>
      </c>
      <c r="AD64" s="11"/>
      <c r="AE64" s="11"/>
      <c r="AF64" s="11"/>
      <c r="AG64" s="11"/>
      <c r="AH64" s="11"/>
      <c r="AI64" s="12">
        <v>46251</v>
      </c>
      <c r="AJ64" s="12">
        <f>AI64+10</f>
        <v>46261</v>
      </c>
      <c r="AK64" s="11"/>
      <c r="AL64" s="45"/>
      <c r="AM64" s="62">
        <f t="shared" si="0"/>
        <v>0</v>
      </c>
      <c r="AN64" s="11"/>
      <c r="AO64" s="11"/>
      <c r="AP64" s="11"/>
      <c r="AQ64" s="11"/>
      <c r="AR64" s="11"/>
      <c r="AS64" s="25"/>
    </row>
    <row r="65" spans="1:45" ht="15.6" customHeight="1" thickTop="1" thickBot="1" x14ac:dyDescent="0.35">
      <c r="A65" s="29" t="s">
        <v>26</v>
      </c>
      <c r="B65" s="30" t="s">
        <v>284</v>
      </c>
      <c r="C65" s="64"/>
      <c r="D65" s="73"/>
      <c r="E65" s="73"/>
      <c r="F65" s="73"/>
      <c r="G65" s="73"/>
      <c r="H65" s="73"/>
      <c r="I65" s="73"/>
      <c r="J65" s="73"/>
      <c r="K65" s="31">
        <v>3</v>
      </c>
      <c r="L65" s="30" t="s">
        <v>285</v>
      </c>
      <c r="M65" s="30" t="s">
        <v>286</v>
      </c>
      <c r="N65" s="30" t="s">
        <v>287</v>
      </c>
      <c r="O65" s="30" t="s">
        <v>76</v>
      </c>
      <c r="P65" s="31" t="s">
        <v>32</v>
      </c>
      <c r="Q65" s="31"/>
      <c r="R65" s="31"/>
      <c r="S65" s="31" t="s">
        <v>23</v>
      </c>
      <c r="T65" s="31"/>
      <c r="U65" s="31"/>
      <c r="V65" s="31"/>
      <c r="W65" s="31"/>
      <c r="X65" s="31"/>
      <c r="Y65" s="31"/>
      <c r="Z65" s="31"/>
      <c r="AA65" s="31" t="s">
        <v>33</v>
      </c>
      <c r="AB65" s="31" t="s">
        <v>288</v>
      </c>
      <c r="AC65" s="31" t="s">
        <v>33</v>
      </c>
      <c r="AD65" s="31" t="s">
        <v>33</v>
      </c>
      <c r="AE65" s="31"/>
      <c r="AF65" s="31"/>
      <c r="AG65" s="31"/>
      <c r="AH65" s="31" t="s">
        <v>33</v>
      </c>
      <c r="AI65" s="31" t="s">
        <v>33</v>
      </c>
      <c r="AJ65" s="31" t="s">
        <v>33</v>
      </c>
      <c r="AK65" s="31"/>
      <c r="AL65" s="58"/>
      <c r="AM65" s="62">
        <f t="shared" si="0"/>
        <v>0</v>
      </c>
      <c r="AN65" s="31"/>
      <c r="AO65" s="31"/>
      <c r="AP65" s="31"/>
      <c r="AQ65" s="31" t="s">
        <v>26</v>
      </c>
      <c r="AR65" s="31"/>
      <c r="AS65" s="53" t="s">
        <v>289</v>
      </c>
    </row>
    <row r="66" spans="1:45" x14ac:dyDescent="0.3">
      <c r="A66" s="6"/>
      <c r="K66" s="46"/>
    </row>
    <row r="68" spans="1:45" x14ac:dyDescent="0.3">
      <c r="A68" s="2"/>
      <c r="B68" s="3"/>
      <c r="C68" s="3"/>
      <c r="D68" s="3"/>
      <c r="E68" s="3"/>
      <c r="F68" s="3"/>
      <c r="G68" s="3"/>
      <c r="H68" s="3"/>
      <c r="I68" s="3"/>
      <c r="J68" s="3"/>
      <c r="K68" s="5"/>
      <c r="L68" s="5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7"/>
      <c r="AB68" s="7"/>
      <c r="AC68" s="7"/>
      <c r="AD68" s="7"/>
      <c r="AE68" s="7"/>
      <c r="AF68" s="7"/>
      <c r="AG68" s="4"/>
      <c r="AH68" s="7"/>
      <c r="AI68" s="4"/>
      <c r="AK68" s="4"/>
      <c r="AL68" s="59"/>
      <c r="AN68" s="4"/>
      <c r="AO68" s="4"/>
      <c r="AP68" s="4"/>
      <c r="AR68" s="4"/>
    </row>
  </sheetData>
  <autoFilter ref="A1:AS65" xr:uid="{00000000-0001-0000-0000-000000000000}"/>
  <pageMargins left="0.511811024" right="0.511811024" top="0.78740157499999996" bottom="0.78740157499999996" header="0.31496062000000002" footer="0.31496062000000002"/>
  <pageSetup orientation="portrait" horizontalDpi="360" verticalDpi="360"/>
  <ignoredErrors>
    <ignoredError sqref="R29 R27 R49:R50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4279-F537-4C1A-A71C-B58EC2E94198}">
  <dimension ref="A1:F17"/>
  <sheetViews>
    <sheetView workbookViewId="0"/>
  </sheetViews>
  <sheetFormatPr defaultRowHeight="14.4" x14ac:dyDescent="0.3"/>
  <cols>
    <col min="1" max="1" width="9.109375" bestFit="1" customWidth="1"/>
    <col min="2" max="2" width="15.33203125" customWidth="1"/>
    <col min="3" max="3" width="41.88671875" bestFit="1" customWidth="1"/>
    <col min="4" max="5" width="22.44140625" customWidth="1"/>
    <col min="6" max="6" width="43.5546875" bestFit="1" customWidth="1"/>
  </cols>
  <sheetData>
    <row r="1" spans="1:6" x14ac:dyDescent="0.3">
      <c r="A1" s="33" t="s">
        <v>0</v>
      </c>
      <c r="B1" s="33" t="s">
        <v>3</v>
      </c>
      <c r="C1" s="33" t="s">
        <v>4</v>
      </c>
      <c r="D1" s="32" t="s">
        <v>5</v>
      </c>
      <c r="E1" s="33" t="s">
        <v>6</v>
      </c>
      <c r="F1" s="33" t="s">
        <v>1</v>
      </c>
    </row>
    <row r="2" spans="1:6" x14ac:dyDescent="0.3">
      <c r="A2" s="76" t="s">
        <v>363</v>
      </c>
      <c r="B2" s="79" t="s">
        <v>137</v>
      </c>
      <c r="C2" s="77" t="s">
        <v>138</v>
      </c>
      <c r="D2" s="77" t="s">
        <v>125</v>
      </c>
      <c r="E2" s="77" t="s">
        <v>76</v>
      </c>
      <c r="F2" s="78" t="s">
        <v>136</v>
      </c>
    </row>
    <row r="3" spans="1:6" x14ac:dyDescent="0.3">
      <c r="A3" s="76" t="s">
        <v>364</v>
      </c>
      <c r="B3" s="79" t="s">
        <v>137</v>
      </c>
      <c r="C3" s="77" t="s">
        <v>138</v>
      </c>
      <c r="D3" s="77" t="s">
        <v>125</v>
      </c>
      <c r="E3" s="77" t="s">
        <v>76</v>
      </c>
      <c r="F3" s="78" t="s">
        <v>136</v>
      </c>
    </row>
    <row r="4" spans="1:6" x14ac:dyDescent="0.3">
      <c r="A4" s="76" t="s">
        <v>365</v>
      </c>
      <c r="B4" s="79" t="s">
        <v>137</v>
      </c>
      <c r="C4" s="77" t="s">
        <v>138</v>
      </c>
      <c r="D4" s="77" t="s">
        <v>125</v>
      </c>
      <c r="E4" s="77" t="s">
        <v>76</v>
      </c>
      <c r="F4" s="78" t="s">
        <v>136</v>
      </c>
    </row>
    <row r="5" spans="1:6" ht="15" thickBot="1" x14ac:dyDescent="0.35">
      <c r="A5" s="76" t="s">
        <v>135</v>
      </c>
      <c r="B5" s="79" t="s">
        <v>137</v>
      </c>
      <c r="C5" s="77" t="s">
        <v>138</v>
      </c>
      <c r="D5" s="77" t="s">
        <v>125</v>
      </c>
      <c r="E5" s="77" t="s">
        <v>76</v>
      </c>
      <c r="F5" s="78" t="s">
        <v>136</v>
      </c>
    </row>
    <row r="6" spans="1:6" ht="15.6" thickTop="1" thickBot="1" x14ac:dyDescent="0.35">
      <c r="A6" s="76" t="s">
        <v>122</v>
      </c>
      <c r="B6" s="17" t="s">
        <v>123</v>
      </c>
      <c r="C6" s="18" t="s">
        <v>366</v>
      </c>
      <c r="D6" s="77" t="s">
        <v>125</v>
      </c>
      <c r="E6" s="77" t="s">
        <v>76</v>
      </c>
      <c r="F6" s="13" t="s">
        <v>367</v>
      </c>
    </row>
    <row r="7" spans="1:6" ht="15" thickTop="1" x14ac:dyDescent="0.3">
      <c r="A7" s="75"/>
    </row>
    <row r="8" spans="1:6" x14ac:dyDescent="0.3">
      <c r="A8" s="75"/>
    </row>
    <row r="9" spans="1:6" x14ac:dyDescent="0.3">
      <c r="A9" s="75"/>
    </row>
    <row r="10" spans="1:6" x14ac:dyDescent="0.3">
      <c r="A10" s="75"/>
    </row>
    <row r="11" spans="1:6" x14ac:dyDescent="0.3">
      <c r="A11" s="75"/>
    </row>
    <row r="12" spans="1:6" x14ac:dyDescent="0.3">
      <c r="A12" s="75"/>
    </row>
    <row r="13" spans="1:6" x14ac:dyDescent="0.3">
      <c r="A13" s="75"/>
    </row>
    <row r="14" spans="1:6" x14ac:dyDescent="0.3">
      <c r="A14" s="75"/>
    </row>
    <row r="15" spans="1:6" x14ac:dyDescent="0.3">
      <c r="A15" s="75"/>
    </row>
    <row r="16" spans="1:6" x14ac:dyDescent="0.3">
      <c r="A16" s="75"/>
    </row>
    <row r="17" spans="1:1" x14ac:dyDescent="0.3">
      <c r="A17" s="75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32C0AA16D21746B4EB7FDB0B59BE62" ma:contentTypeVersion="16" ma:contentTypeDescription="Crie um novo documento." ma:contentTypeScope="" ma:versionID="9a0a728e296ddd6275403226e5d34c21">
  <xsd:schema xmlns:xsd="http://www.w3.org/2001/XMLSchema" xmlns:xs="http://www.w3.org/2001/XMLSchema" xmlns:p="http://schemas.microsoft.com/office/2006/metadata/properties" xmlns:ns2="783c63db-d0ef-41f9-9936-501639c155ae" xmlns:ns3="d22a1a88-4a50-41b7-8c78-0feeb1ba72e2" targetNamespace="http://schemas.microsoft.com/office/2006/metadata/properties" ma:root="true" ma:fieldsID="b2ce7bb192935af1047018e495a83b43" ns2:_="" ns3:_="">
    <xsd:import namespace="783c63db-d0ef-41f9-9936-501639c155ae"/>
    <xsd:import namespace="d22a1a88-4a50-41b7-8c78-0feeb1ba72e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c63db-d0ef-41f9-9936-501639c155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7440735-e5d9-468c-a750-1e471380fe74}" ma:internalName="TaxCatchAll" ma:showField="CatchAllData" ma:web="783c63db-d0ef-41f9-9936-501639c15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2a1a88-4a50-41b7-8c78-0feeb1ba72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3d733b8-86e0-4a0f-a303-6444ce9aba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2a1a88-4a50-41b7-8c78-0feeb1ba72e2">
      <Terms xmlns="http://schemas.microsoft.com/office/infopath/2007/PartnerControls"/>
    </lcf76f155ced4ddcb4097134ff3c332f>
    <TaxCatchAll xmlns="783c63db-d0ef-41f9-9936-501639c155ae" xsi:nil="true"/>
  </documentManagement>
</p:properties>
</file>

<file path=customXml/itemProps1.xml><?xml version="1.0" encoding="utf-8"?>
<ds:datastoreItem xmlns:ds="http://schemas.openxmlformats.org/officeDocument/2006/customXml" ds:itemID="{D418E3F5-3C5C-48DC-8E62-B88D6FC743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3c63db-d0ef-41f9-9936-501639c155ae"/>
    <ds:schemaRef ds:uri="d22a1a88-4a50-41b7-8c78-0feeb1ba72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52E4B9-F9A5-4BE9-AEAE-1E7A28139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56B988-1AAD-45F2-9C44-B20C3BA624AE}">
  <ds:schemaRefs>
    <ds:schemaRef ds:uri="http://schemas.microsoft.com/office/2006/metadata/properties"/>
    <ds:schemaRef ds:uri="http://schemas.microsoft.com/office/infopath/2007/PartnerControls"/>
    <ds:schemaRef ds:uri="d22a1a88-4a50-41b7-8c78-0feeb1ba72e2"/>
    <ds:schemaRef ds:uri="783c63db-d0ef-41f9-9936-501639c155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VerticalParts - Arilene Avila</dc:creator>
  <cp:lastModifiedBy>VerticalParts - Gelson Aparecido Simões</cp:lastModifiedBy>
  <dcterms:created xsi:type="dcterms:W3CDTF">2026-07-13T16:13:22Z</dcterms:created>
  <dcterms:modified xsi:type="dcterms:W3CDTF">2026-08-19T14:50:30Z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0x010100A732C0AA16D21746B4EB7FDB0B59BE62</vt:lpwstr>
  </property>
</Properties>
</file>