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Empresas" sheetId="2" state="visible" r:id="rId4"/>
    <sheet name="Colaboradores" sheetId="3" state="visible" r:id="rId5"/>
    <sheet name="Colaborador_Empresa" sheetId="4" state="visible" r:id="rId6"/>
    <sheet name="Especialidades" sheetId="5" state="visible" r:id="rId7"/>
    <sheet name="Obras" sheetId="6" state="visible" r:id="rId8"/>
    <sheet name="Obra_Empresa" sheetId="7" state="visible" r:id="rId9"/>
    <sheet name="Especialidade_Obra_Empresa" sheetId="8" state="visible" r:id="rId10"/>
    <sheet name="Doc_Catalogo" sheetId="9" state="visible" r:id="rId11"/>
    <sheet name="Docs_Empresa" sheetId="10" state="visible" r:id="rId12"/>
    <sheet name="Docs_Colaborador" sheetId="11" state="visible" r:id="rId13"/>
    <sheet name="Envios_Obra_Documento" sheetId="12" state="visible" r:id="rId14"/>
    <sheet name="Doc_Compliance_Obra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M9" authorId="0">
      <text>
        <r>
          <rPr>
            <sz val="10"/>
            <rFont val="Arial"/>
            <family val="2"/>
          </rPr>
          <t xml:space="preserve">CNPJ CORRIGIDO — na planilha de origem estava gravado como ' 24.845.692.0006-41'. Confirmar o numero correto.</t>
        </r>
      </text>
    </comment>
    <comment ref="M12" authorId="0">
      <text>
        <r>
          <rPr>
            <sz val="10"/>
            <rFont val="Arial"/>
            <family val="2"/>
          </rPr>
          <t xml:space="preserve">Matriz (raiz 24.845.692). Colaboradores da GERAL(3) foram vinculados aqui por padrao — confirmar se deveriam ir para a filial onde atuam.</t>
        </r>
      </text>
    </comment>
    <comment ref="M14" authorId="0">
      <text>
        <r>
          <rPr>
            <sz val="10"/>
            <rFont val="Arial"/>
            <family val="2"/>
          </rPr>
          <t xml:space="preserve">Na aba Vip Gales de Controle de Documentos.xlsx aparece como 'LR GROUP ELEVADORES' (variacao de grafia) — mesma empresa.</t>
        </r>
      </text>
    </comment>
    <comment ref="M18" authorId="0">
      <text>
        <r>
          <rPr>
            <sz val="10"/>
            <rFont val="Arial"/>
            <family val="2"/>
          </rPr>
          <t xml:space="preserve">Na aba Hospital SC de Controle de Documentos.xlsx aparece como 'NEXTFLOOR' (sem espaco) — mesma empresa.</t>
        </r>
      </text>
    </comment>
    <comment ref="M20" authorId="0">
      <text>
        <r>
          <rPr>
            <sz val="10"/>
            <rFont val="Arial"/>
            <family val="2"/>
          </rPr>
          <t xml:space="preserve">Nome fantasia visto na planilha antiga: 'RMI ELEVADORES'.</t>
        </r>
      </text>
    </comment>
    <comment ref="M21" authorId="0">
      <text>
        <r>
          <rPr>
            <sz val="10"/>
            <rFont val="Arial"/>
            <family val="2"/>
          </rPr>
          <t xml:space="preserve">Nome fantasia visto na planilha antiga: 'RN ESCAL'. Proprietario aparece abreviado como 'L. V. Negreiros' na aba Paraguacu.</t>
        </r>
      </text>
    </comment>
    <comment ref="M22" authorId="0">
      <text>
        <r>
          <rPr>
            <sz val="10"/>
            <rFont val="Arial"/>
            <family val="2"/>
          </rPr>
          <t xml:space="preserve">Empresa nova, so encontrada em Controle de Documentos.xlsx (GERAL(3), colaborador 'Guilherme'). CNPJ e endereco nao informados na fonte.</t>
        </r>
      </text>
    </comment>
    <comment ref="M23" authorId="0">
      <text>
        <r>
          <rPr>
            <sz val="10"/>
            <rFont val="Arial"/>
            <family val="2"/>
          </rPr>
          <t xml:space="preserve">Empresa nova, so encontrada em Controle de Documentos.xlsx (GERAL(3), colaborador 'Edinaldo dos Santos'). CNPJ e endereco nao informados na fonte. Nome original grafado 'MOSQUITO ESCADAS E ESTERIAS ROLANTES' (provavel erro de digitacao de 'ESTEIRAS') — corrigido aqui.</t>
        </r>
      </text>
    </comment>
    <comment ref="M24" authorId="0">
      <text>
        <r>
          <rPr>
            <sz val="10"/>
            <rFont val="Arial"/>
            <family val="2"/>
          </rPr>
          <t xml:space="preserve">Empresa nova — aparece em Controle de Documentos.xlsx (GERAL(3), colaborador 'Lucas Franco') e na aba Hospital SC (colaborador 'Lucas'). CNPJ e endereco nao informados na fonte.</t>
        </r>
      </text>
    </comment>
    <comment ref="M25" authorId="0">
      <text>
        <r>
          <rPr>
            <sz val="10"/>
            <rFont val="Arial"/>
            <family val="2"/>
          </rPr>
          <t xml:space="preserve">Empresa nova — aparece em Controle de Documentos.xlsx (GERAL(3), colaborador 'Cleiton Navas') e na aba Hospital SC (colaborador 'Cleiton'). Nome original grafado 'VERTICAL TECH ELEVADORS LTDA' (provavel erro de digitacao de 'ELEVADORES') — corrigido aqui. CNPJ e endereco nao informados.</t>
        </r>
      </text>
    </comment>
    <comment ref="M26" authorId="0">
      <text>
        <r>
          <rPr>
            <sz val="10"/>
            <rFont val="Arial"/>
            <family val="2"/>
          </rPr>
          <t xml:space="preserve">ATENCAO: aparece na GERAL(3) como se fosse uma empresa terceirizada (colaboradores Gesse Batista, Mauricio Sanchez, Vinicius Ramos), grafada tambem como 'VERTICAPARTS' (erro de digitacao). Pode ser a propria VerticalParts (empresa contratante), nao uma subcontratada — CONFIRMAR antes de tratar como empresa instaladora terceirizada.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N2" authorId="0">
      <text>
        <r>
          <rPr>
            <sz val="10"/>
            <rFont val="Arial"/>
            <family val="2"/>
          </rPr>
          <t xml:space="preserve">CNH gravada como numero na planilha original (perde zero a esquerda) — confirmar os 11 digitos corretos.</t>
        </r>
      </text>
    </comment>
    <comment ref="N11" authorId="0">
      <text>
        <r>
          <rPr>
            <sz val="10"/>
            <rFont val="Arial"/>
            <family val="2"/>
          </rPr>
          <t xml:space="preserve">Na planilha original o RG estava preenchido com o mesmo valor do CPF (454.718.548-45) — RG real fica em aberto ate confirmar.</t>
        </r>
      </text>
    </comment>
    <comment ref="N12" authorId="0">
      <text>
        <r>
          <rPr>
            <sz val="10"/>
            <rFont val="Arial"/>
            <family val="2"/>
          </rPr>
          <t xml:space="preserve">CNH com 12 digitos na planilha original — CNH valida tem 11 digitos, provavel erro de digitacao a confirmar.</t>
        </r>
      </text>
    </comment>
    <comment ref="N20" authorId="0">
      <text>
        <r>
          <rPr>
            <sz val="10"/>
            <rFont val="Arial"/>
            <family val="2"/>
          </rPr>
          <t xml:space="preserve">Na planilha original o RG estava preenchido com o mesmo valor do CPF (298.440.068-30) — RG real fica em aberto ate confirmar.</t>
        </r>
      </text>
    </comment>
    <comment ref="N40" authorId="0">
      <text>
        <r>
          <rPr>
            <sz val="10"/>
            <rFont val="Arial"/>
            <family val="2"/>
          </rPr>
          <t xml:space="preserve">Na planilha original havia '62193555397' no campo RG — parece um CPF (11 digitos), nao um RG. Confirmar RG e CPF reais.</t>
        </r>
      </text>
    </comment>
    <comment ref="N42" authorId="0">
      <text>
        <r>
          <rPr>
            <sz val="10"/>
            <rFont val="Arial"/>
            <family val="2"/>
          </rPr>
          <t xml:space="preserve">NOVO — nao existia em Planilha Organizar (1).xlsx. Encontrado na aba Hospital SC de Controle de Documentos.xlsx (coluna da empresa 60.555.952 GABRIEL SCHURT). Provavelmente proprietario = colaborador principal desta empresa individual.</t>
        </r>
      </text>
    </comment>
    <comment ref="N43" authorId="0">
      <text>
        <r>
          <rPr>
            <sz val="10"/>
            <rFont val="Arial"/>
            <family val="2"/>
          </rPr>
          <t xml:space="preserve">NOVO — encontrado em Controle de Documentos.xlsx (GERAL(3), empresa 'LUIS FERNANDO BUENO DE CAMARGO'). Sem CPF/RG/CNH informados.</t>
        </r>
      </text>
    </comment>
    <comment ref="N44" authorId="0">
      <text>
        <r>
          <rPr>
            <sz val="10"/>
            <rFont val="Arial"/>
            <family val="2"/>
          </rPr>
          <t xml:space="preserve">NOVO — encontrado em Controle de Documentos.xlsx (GERAL(3), empresa 'MOSQUITO ESCADAS E ESTEIRAS ROLANTES'). Sem CPF/RG/CNH informados.</t>
        </r>
      </text>
    </comment>
    <comment ref="N45" authorId="0">
      <text>
        <r>
          <rPr>
            <sz val="10"/>
            <rFont val="Arial"/>
            <family val="2"/>
          </rPr>
          <t xml:space="preserve">NOVO — colaborador e nome da empresa individual coincidem (provavel proprietario). Sem CPF/RG/CNH informados.</t>
        </r>
      </text>
    </comment>
    <comment ref="N46" authorId="0">
      <text>
        <r>
          <rPr>
            <sz val="10"/>
            <rFont val="Arial"/>
            <family val="2"/>
          </rPr>
          <t xml:space="preserve">NOVO — encontrado em Controle de Documentos.xlsx (GERAL(3), empresa RN ESCAL). Provavel apelido — nome completo a confirmar.</t>
        </r>
      </text>
    </comment>
    <comment ref="N47" authorId="0">
      <text>
        <r>
          <rPr>
            <sz val="10"/>
            <rFont val="Arial"/>
            <family val="2"/>
          </rPr>
          <t xml:space="preserve">NOVO — encontrado em Controle de Documentos.xlsx (GERAL(3), empresa RN ESCAL) e na aba Paraguacu (mesma pessoa).</t>
        </r>
      </text>
    </comment>
    <comment ref="N48" authorId="0">
      <text>
        <r>
          <rPr>
            <sz val="10"/>
            <rFont val="Arial"/>
            <family val="2"/>
          </rPr>
          <t xml:space="preserve">NOVO — encontrado tambem na aba Paraguacu (mesma pessoa, RN Escal/RN Scal atua nessa obra).</t>
        </r>
      </text>
    </comment>
    <comment ref="N49" authorId="0">
      <text>
        <r>
          <rPr>
            <sz val="10"/>
            <rFont val="Arial"/>
            <family val="2"/>
          </rPr>
          <t xml:space="preserve">NOVO — encontrado tambem na aba Paraguacu (mesma pessoa).</t>
        </r>
      </text>
    </comment>
    <comment ref="N50" authorId="0">
      <text>
        <r>
          <rPr>
            <sz val="10"/>
            <rFont val="Arial"/>
            <family val="2"/>
          </rPr>
          <t xml:space="preserve">NOVO — encontrado tambem na aba Paraguacu (mesma pessoa).</t>
        </r>
      </text>
    </comment>
    <comment ref="N51" authorId="0">
      <text>
        <r>
          <rPr>
            <sz val="10"/>
            <rFont val="Arial"/>
            <family val="2"/>
          </rPr>
          <t xml:space="preserve">NOVO — encontrado em Controle de Documentos.xlsx (GERAL(3), empresa VDR MONTAGENS LTDA) e na aba Hospital SC (mesma pessoa, 'Lucas').</t>
        </r>
      </text>
    </comment>
    <comment ref="N52" authorId="0">
      <text>
        <r>
          <rPr>
            <sz val="10"/>
            <rFont val="Arial"/>
            <family val="2"/>
          </rPr>
          <t xml:space="preserve">NOVO — encontrado em Controle de Documentos.xlsx (GERAL(3), empresa VERTICAL TECH ELEVADORES LTDA) e na aba Hospital SC (mesma pessoa, 'Cleiton').</t>
        </r>
      </text>
    </comment>
    <comment ref="N53" authorId="0">
      <text>
        <r>
          <rPr>
            <sz val="10"/>
            <rFont val="Arial"/>
            <family val="2"/>
          </rPr>
          <t xml:space="preserve">NOVO — ver observacao na aba Empresas sobre 'VERTICALPARTS' possivelmente ser a propria contratante, nao uma terceirizada.</t>
        </r>
      </text>
    </comment>
    <comment ref="N54" authorId="0">
      <text>
        <r>
          <rPr>
            <sz val="10"/>
            <rFont val="Arial"/>
            <family val="2"/>
          </rPr>
          <t xml:space="preserve">NOVO — idem.</t>
        </r>
      </text>
    </comment>
    <comment ref="N55" authorId="0">
      <text>
        <r>
          <rPr>
            <sz val="10"/>
            <rFont val="Arial"/>
            <family val="2"/>
          </rPr>
          <t xml:space="preserve">NOVO — idem. Nao havia nenhum documento preenchido para esta pessoa na fonte.</t>
        </r>
      </text>
    </comment>
  </commentList>
</comments>
</file>

<file path=xl/sharedStrings.xml><?xml version="1.0" encoding="utf-8"?>
<sst xmlns="http://schemas.openxmlformats.org/spreadsheetml/2006/main" count="4142" uniqueCount="1286">
  <si>
    <t xml:space="preserve">Controle de Empresas, Colaboradores, Obras e Documentação — VerticalParts</t>
  </si>
  <si>
    <t xml:space="preserve">v2 — inclui os vencimentos reais (GERAL (3)) e os envios por obra (6 abas) de Controle de Documentos.xlsx</t>
  </si>
  <si>
    <t xml:space="preserve">O QUE MUDOU NESTA VERSAO (v2)</t>
  </si>
  <si>
    <t xml:space="preserve">  • Docs_Empresa e Docs_Colaborador agora tem os vencimentos REAIS extraidos da aba GERAL (3) de Controle de Documentos.xlsx (41 colaboradores, ate 28 documentos cada).</t>
  </si>
  <si>
    <t xml:space="preserve">  • Envios_Obra_Documento agora tem os registros REAIS das 6 abas por obra (Metro SP, Metro BH, Hospital SC, Paraguacu, Vip Gales, Goiabeiras) — 274 eventos de documento x obra.</t>
  </si>
  <si>
    <t xml:space="preserve">  • Obra_Empresa agora tem as alocacoes reais observadas (qual empresa esta em qual obra).</t>
  </si>
  <si>
    <t xml:space="preserve">  • Empresas e Colaboradores ganharam registros novos que so apareciam em Controle de Documentos.xlsx e nao estavam em Planilha Organizar (1).xlsx — marcados em azul claro, com comentario explicando a origem.</t>
  </si>
  <si>
    <t xml:space="preserve">  • Doc_Catalogo ganhou os documentos de compliance de obra REAIS vistos na aba Hospital SC (CND Federal/Estadual/Municipal, CRF-FGTS, CNDT, comprovantes de pagamento de salario/ferias/13/FGTS, INSS, etc.) — isso responde a pendencia que estava em aberto sobre a lista de documentos de compliance.</t>
  </si>
  <si>
    <t xml:space="preserve">ESCOLHA FEITA SOBRE AS DUAS ABAS 'GERAL' DA PLANILHA ANTIGA</t>
  </si>
  <si>
    <t xml:space="preserve">  A planilha antiga tinha 'GERAL' e 'GERAL (3)' com 66 celulas divergentes entre si (reportado na conferencia anterior). Usei GERAL (3) como fonte porque tem datas reais onde GERAL (sem o (3)) trazia apenas 'INDETERMINADO' — mas isso e uma escolha minha, nao uma confirmacao sua. Se GERAL (sem o (3)) for na verdade a versao correta, aviso que os vencimentos abaixo precisam ser revisados.</t>
  </si>
  <si>
    <t xml:space="preserve">COMO LER OS STATUS DE ENVIOS_OBRA_DOCUMENTO</t>
  </si>
  <si>
    <t xml:space="preserve">  A planilha antiga usava textos livres nas celulas (nem sempre 'OK'). Mantive o texto original na coluna Observacao sempre que ele nao era um simples OK, e preenchi Status_Exigencia com a interpretacao mais proxima:</t>
  </si>
  <si>
    <t xml:space="preserve">    'OK' -&gt; enviado   |   'Nao tem' / 'Nao precisa' -&gt; pendente   |   'Nao se Aplica' (+variacoes) -&gt; nao_aplicavel</t>
  </si>
  <si>
    <t xml:space="preserve">    Qualquer outro texto (ex.: a celula 'RG' continha 'CNH', indicando que a pessoa apresentou CNH no lugar do RG) -&gt; fica como pendente com o texto original preservado em Observacao — confirme se a interpretacao esta certa.</t>
  </si>
  <si>
    <t xml:space="preserve">PENDENCIAS QUE CONTINUAM EM ABERTO</t>
  </si>
  <si>
    <t xml:space="preserve">  1. Confirmar se colaboradores da ESCAMAX devem ser vinculados a matriz ou a filial especifica onde atuam.</t>
  </si>
  <si>
    <t xml:space="preserve">  2. Confirmar a lista de Especialidades (Elevador/Escada/Esteira) — ainda nao foi possivel inferir para todas as obras.</t>
  </si>
  <si>
    <t xml:space="preserve">  3. As empresas novas descobertas nesta versao (Guilherme Bitencourt de Freitas, Mosquito Escadas e Esteiras Rolantes, VDR Montagens, Vertical Tech Elevadores, VerticalParts) nao tem CNPJ nem endereco na fonte — completar quando disponivel.</t>
  </si>
  <si>
    <t xml:space="preserve">  4. 'VERTICALPARTS' (grafada tambem 'VERTICAPARTS' na planilha antiga) aparece como se fosse uma empresa terceirizada, mas pode ser a propria VerticalParts (contratante) — confirmar antes de tratar como subcontratada.</t>
  </si>
  <si>
    <t xml:space="preserve">  5. Confirmar se o destino final e este Excel ou uma base de dados (Postgres/Supabase).</t>
  </si>
  <si>
    <t xml:space="preserve">ID_Empresa</t>
  </si>
  <si>
    <t xml:space="preserve">CNPJ</t>
  </si>
  <si>
    <t xml:space="preserve">CNPJ_Raiz</t>
  </si>
  <si>
    <t xml:space="preserve">Razao_Social</t>
  </si>
  <si>
    <t xml:space="preserve">Proprietario</t>
  </si>
  <si>
    <t xml:space="preserve">Logradouro</t>
  </si>
  <si>
    <t xml:space="preserve">Numero</t>
  </si>
  <si>
    <t xml:space="preserve">Bairro</t>
  </si>
  <si>
    <t xml:space="preserve">Cidade</t>
  </si>
  <si>
    <t xml:space="preserve">UF</t>
  </si>
  <si>
    <t xml:space="preserve">CEP</t>
  </si>
  <si>
    <t xml:space="preserve">Status</t>
  </si>
  <si>
    <t xml:space="preserve">Observacao</t>
  </si>
  <si>
    <t xml:space="preserve">EMP-001</t>
  </si>
  <si>
    <t xml:space="preserve">56.112.624/0001-55</t>
  </si>
  <si>
    <t xml:space="preserve">56.112.624 ADEILSON FRAGOSO LEAL</t>
  </si>
  <si>
    <t xml:space="preserve">ADEILSON FRAGOSO LEAL</t>
  </si>
  <si>
    <t xml:space="preserve">R MIGUEL DE LEMOS</t>
  </si>
  <si>
    <t xml:space="preserve">VILA CONTINENTAL</t>
  </si>
  <si>
    <t xml:space="preserve">SAO PAULO</t>
  </si>
  <si>
    <t xml:space="preserve">SP</t>
  </si>
  <si>
    <t xml:space="preserve">02.616-100</t>
  </si>
  <si>
    <t xml:space="preserve">Ativa</t>
  </si>
  <si>
    <t xml:space="preserve">EMP-002</t>
  </si>
  <si>
    <t xml:space="preserve">60.536.286/0001-56</t>
  </si>
  <si>
    <t xml:space="preserve">60.536.286 SILVIO SCHURT</t>
  </si>
  <si>
    <t xml:space="preserve">SILVIO SCHURT</t>
  </si>
  <si>
    <t xml:space="preserve">R LI RUA ANTONIA P. GALESKI</t>
  </si>
  <si>
    <t xml:space="preserve">LUCENA</t>
  </si>
  <si>
    <t xml:space="preserve">ITAIOPOLIS</t>
  </si>
  <si>
    <t xml:space="preserve">SC</t>
  </si>
  <si>
    <t xml:space="preserve">89.340-000</t>
  </si>
  <si>
    <t xml:space="preserve">EMP-003</t>
  </si>
  <si>
    <t xml:space="preserve">60.555.952/0001-01</t>
  </si>
  <si>
    <t xml:space="preserve">60.555.952 GABRIEL SCHURT</t>
  </si>
  <si>
    <t xml:space="preserve">GABRIEL SCHURT</t>
  </si>
  <si>
    <t xml:space="preserve">R JOSE THEODORO RIBEIRO</t>
  </si>
  <si>
    <t xml:space="preserve">ILHA DA FIGUEIRA</t>
  </si>
  <si>
    <t xml:space="preserve">JARAGUA DO SUL</t>
  </si>
  <si>
    <t xml:space="preserve">89258-000</t>
  </si>
  <si>
    <t xml:space="preserve">EMP-004</t>
  </si>
  <si>
    <t xml:space="preserve">45.039.024/0001-92</t>
  </si>
  <si>
    <t xml:space="preserve">AMAZON PESA SERVICOS LTDA</t>
  </si>
  <si>
    <t xml:space="preserve">CARMELINA PANTOJA FERREIRA</t>
  </si>
  <si>
    <t xml:space="preserve">AV ALCINDO CACELA</t>
  </si>
  <si>
    <t xml:space="preserve">NAZARE</t>
  </si>
  <si>
    <t xml:space="preserve">BELEM</t>
  </si>
  <si>
    <t xml:space="preserve">PA</t>
  </si>
  <si>
    <t xml:space="preserve">66.040-020</t>
  </si>
  <si>
    <t xml:space="preserve">EMP-005</t>
  </si>
  <si>
    <t xml:space="preserve">66.166.474/0001-16</t>
  </si>
  <si>
    <t xml:space="preserve">66.166.474 ANTONIO MARCOS DOS SANTOS</t>
  </si>
  <si>
    <t xml:space="preserve">ANTONIO MARCOS DOS SANTOS</t>
  </si>
  <si>
    <t xml:space="preserve">LOGRADOUROR DAS UNIOES</t>
  </si>
  <si>
    <t xml:space="preserve">JARDIM MIRAY</t>
  </si>
  <si>
    <t xml:space="preserve">ITAQUAQUECETUBA</t>
  </si>
  <si>
    <t xml:space="preserve">08.574-400</t>
  </si>
  <si>
    <t xml:space="preserve">EMP-006</t>
  </si>
  <si>
    <t xml:space="preserve">59.733.299/0001-36</t>
  </si>
  <si>
    <t xml:space="preserve">DHS ELEVADORES LTDA</t>
  </si>
  <si>
    <t xml:space="preserve">DANIEL SCHURT</t>
  </si>
  <si>
    <t xml:space="preserve">R JAMBO</t>
  </si>
  <si>
    <t xml:space="preserve">AREIAS</t>
  </si>
  <si>
    <t xml:space="preserve">TIJUCAS</t>
  </si>
  <si>
    <t xml:space="preserve">88.201-316</t>
  </si>
  <si>
    <t xml:space="preserve">EMP-007</t>
  </si>
  <si>
    <t xml:space="preserve">47.655.284/0001-18</t>
  </si>
  <si>
    <t xml:space="preserve">ERTEX ESCADAS E ESTEIRAS ROLANTES LTDA</t>
  </si>
  <si>
    <t xml:space="preserve">ELISEU BALSALOBRE</t>
  </si>
  <si>
    <t xml:space="preserve">AV DOS SERTANISTAS</t>
  </si>
  <si>
    <t xml:space="preserve">JARDIM SANTO ANDRE</t>
  </si>
  <si>
    <t xml:space="preserve">08.390-240</t>
  </si>
  <si>
    <t xml:space="preserve">EMP-008</t>
  </si>
  <si>
    <t xml:space="preserve">24.845.692/0006-41</t>
  </si>
  <si>
    <t xml:space="preserve">ESCAMAX MANUTENCAO DE EQUIPAMENTOS DE MOBILIDADE LTDA</t>
  </si>
  <si>
    <t xml:space="preserve">DIEGO YUTAKA MAENO</t>
  </si>
  <si>
    <t xml:space="preserve">R TERRA ROXA</t>
  </si>
  <si>
    <t xml:space="preserve">CIDADE MAE DO CEU</t>
  </si>
  <si>
    <t xml:space="preserve">03.305-010</t>
  </si>
  <si>
    <t xml:space="preserve">CNPJ CORRIGIDO — na planilha de origem estava gravado como ' 24.845.692.0006-41'. Confirmar o numero correto.</t>
  </si>
  <si>
    <t xml:space="preserve">EMP-009</t>
  </si>
  <si>
    <t xml:space="preserve">24.845.692/0005-60</t>
  </si>
  <si>
    <t xml:space="preserve">R LORD COCHRANE</t>
  </si>
  <si>
    <t xml:space="preserve">BARRA</t>
  </si>
  <si>
    <t xml:space="preserve">SALVADOR</t>
  </si>
  <si>
    <t xml:space="preserve">BA</t>
  </si>
  <si>
    <t xml:space="preserve">40.140-070</t>
  </si>
  <si>
    <t xml:space="preserve">EMP-010</t>
  </si>
  <si>
    <t xml:space="preserve">24.845.692/0007-22</t>
  </si>
  <si>
    <t xml:space="preserve">R SOUZA DUTRA</t>
  </si>
  <si>
    <t xml:space="preserve">CAPOEIRAS</t>
  </si>
  <si>
    <t xml:space="preserve">FLORIANOPOLIS</t>
  </si>
  <si>
    <t xml:space="preserve">88.070-493</t>
  </si>
  <si>
    <t xml:space="preserve">EMP-011</t>
  </si>
  <si>
    <t xml:space="preserve">24.845.692/0001-37</t>
  </si>
  <si>
    <t xml:space="preserve">AGUAS CLARAS SUL RUA MACAUBA LT 15/17</t>
  </si>
  <si>
    <t xml:space="preserve">S/N</t>
  </si>
  <si>
    <t xml:space="preserve">AGUAS CLARAS</t>
  </si>
  <si>
    <t xml:space="preserve">BRASILIA</t>
  </si>
  <si>
    <t xml:space="preserve">DF</t>
  </si>
  <si>
    <t xml:space="preserve">71.928-180</t>
  </si>
  <si>
    <t xml:space="preserve">Matriz (raiz 24.845.692). Colaboradores da GERAL(3) foram vinculados aqui por padrao — confirmar se deveriam ir para a filial onde atuam.</t>
  </si>
  <si>
    <t xml:space="preserve">EMP-012</t>
  </si>
  <si>
    <t xml:space="preserve">14.253.955/0001-65</t>
  </si>
  <si>
    <t xml:space="preserve">FERNANDO PAVANE MASSEI ELEVADORES</t>
  </si>
  <si>
    <t xml:space="preserve">FERNANDO PAVANE MASSEI</t>
  </si>
  <si>
    <t xml:space="preserve">R ROSARIO DO SUL</t>
  </si>
  <si>
    <t xml:space="preserve">JARDIM MARINGA</t>
  </si>
  <si>
    <t xml:space="preserve">03.523-030</t>
  </si>
  <si>
    <t xml:space="preserve">EMP-013</t>
  </si>
  <si>
    <t xml:space="preserve">50.229.729/0001-02</t>
  </si>
  <si>
    <t xml:space="preserve">LR GRUP ELEVADORES LTDA</t>
  </si>
  <si>
    <t xml:space="preserve">LUCAS ALVES DIAS</t>
  </si>
  <si>
    <t xml:space="preserve">R NOGUEIRA</t>
  </si>
  <si>
    <t xml:space="preserve">VILA PENTEADO</t>
  </si>
  <si>
    <t xml:space="preserve">02.864-060</t>
  </si>
  <si>
    <t xml:space="preserve">Na aba Vip Gales de Controle de Documentos.xlsx aparece como 'LR GROUP ELEVADORES' (variacao de grafia) — mesma empresa.</t>
  </si>
  <si>
    <t xml:space="preserve">EMP-014</t>
  </si>
  <si>
    <t xml:space="preserve">36.567.606/0001-50</t>
  </si>
  <si>
    <t xml:space="preserve">LUCIANA MENGALI CARVALHO DA SILVA 32204975869</t>
  </si>
  <si>
    <t xml:space="preserve">LUCIANA MENGALI CARVALHO DA SILVA</t>
  </si>
  <si>
    <t xml:space="preserve">R JULIA SCASSIOTI</t>
  </si>
  <si>
    <t xml:space="preserve">JARDIM PARAISO</t>
  </si>
  <si>
    <t xml:space="preserve">POCOS DE CALDAS</t>
  </si>
  <si>
    <t xml:space="preserve">MG</t>
  </si>
  <si>
    <t xml:space="preserve">37.706-142</t>
  </si>
  <si>
    <t xml:space="preserve">EMP-015</t>
  </si>
  <si>
    <t xml:space="preserve">51.570.098/0001-53</t>
  </si>
  <si>
    <t xml:space="preserve">51.570.098 LUIZ CARLOS JANUARIO DE LAIA</t>
  </si>
  <si>
    <t xml:space="preserve">LUIZ CARLOS JANUARIO DE LAIA</t>
  </si>
  <si>
    <t xml:space="preserve">R NOVO ORIENTE DO PIAUI</t>
  </si>
  <si>
    <t xml:space="preserve">VILA SILVIA</t>
  </si>
  <si>
    <t xml:space="preserve">03.820-310</t>
  </si>
  <si>
    <t xml:space="preserve">EMP-016</t>
  </si>
  <si>
    <t xml:space="preserve">34.794.316/0001-14</t>
  </si>
  <si>
    <t xml:space="preserve">34.794.316 LUIS FERNANDO BUENO DE CAMARGO</t>
  </si>
  <si>
    <t xml:space="preserve">LUIS FERNANDO BUENO DE CAMARGO</t>
  </si>
  <si>
    <t xml:space="preserve">R CANANEIA</t>
  </si>
  <si>
    <t xml:space="preserve">JARDIM PAULISTA</t>
  </si>
  <si>
    <t xml:space="preserve">VARZEA PAULISTA</t>
  </si>
  <si>
    <t xml:space="preserve">13.222-070</t>
  </si>
  <si>
    <t xml:space="preserve">EMP-017</t>
  </si>
  <si>
    <t xml:space="preserve">57.708.859/0001-77</t>
  </si>
  <si>
    <t xml:space="preserve">NEXT FLOOR LTDA</t>
  </si>
  <si>
    <t xml:space="preserve">FABIO LEANDRO DE FREITAS ASSIS</t>
  </si>
  <si>
    <t xml:space="preserve">R FERNANDO SIMAS</t>
  </si>
  <si>
    <t xml:space="preserve">MERCES</t>
  </si>
  <si>
    <t xml:space="preserve">CURITIBA</t>
  </si>
  <si>
    <t xml:space="preserve">PR</t>
  </si>
  <si>
    <t xml:space="preserve">80.710-660</t>
  </si>
  <si>
    <t xml:space="preserve">Na aba Hospital SC de Controle de Documentos.xlsx aparece como 'NEXTFLOOR' (sem espaco) — mesma empresa.</t>
  </si>
  <si>
    <t xml:space="preserve">EMP-018</t>
  </si>
  <si>
    <t xml:space="preserve">58.520.736/0001-70</t>
  </si>
  <si>
    <t xml:space="preserve">OLIVER ELEVADORES LTDA</t>
  </si>
  <si>
    <t xml:space="preserve">LUZIA CRUZ DE OLIVEIRA</t>
  </si>
  <si>
    <t xml:space="preserve">TV ROSETA</t>
  </si>
  <si>
    <t xml:space="preserve">LAJEADO</t>
  </si>
  <si>
    <t xml:space="preserve">08.452-190</t>
  </si>
  <si>
    <t xml:space="preserve">EMP-019</t>
  </si>
  <si>
    <t xml:space="preserve">12.429.006/0001-68</t>
  </si>
  <si>
    <t xml:space="preserve">RICARDO MANOEL INACIO</t>
  </si>
  <si>
    <t xml:space="preserve">R PAULO ARENTINO</t>
  </si>
  <si>
    <t xml:space="preserve">CONJUNTO CITY JARAGUA</t>
  </si>
  <si>
    <t xml:space="preserve">02.998-140</t>
  </si>
  <si>
    <t xml:space="preserve">Nome fantasia visto na planilha antiga: 'RMI ELEVADORES'.</t>
  </si>
  <si>
    <t xml:space="preserve">EMP-020</t>
  </si>
  <si>
    <t xml:space="preserve">26.708.573/0001-68</t>
  </si>
  <si>
    <t xml:space="preserve">RN SCAL SERVICOS LTDA</t>
  </si>
  <si>
    <t xml:space="preserve">LIJOILSON VIDAL DE NEGREIROS</t>
  </si>
  <si>
    <t xml:space="preserve">R BELO JARDIM</t>
  </si>
  <si>
    <t xml:space="preserve">PITIMBU</t>
  </si>
  <si>
    <t xml:space="preserve">NATAL</t>
  </si>
  <si>
    <t xml:space="preserve">RN</t>
  </si>
  <si>
    <t xml:space="preserve">59.068-730</t>
  </si>
  <si>
    <t xml:space="preserve">Nome fantasia visto na planilha antiga: 'RN ESCAL'. Proprietario aparece abreviado como 'L. V. Negreiros' na aba Paraguacu.</t>
  </si>
  <si>
    <t xml:space="preserve">EMP-021</t>
  </si>
  <si>
    <t xml:space="preserve">A_CONFIRMAR</t>
  </si>
  <si>
    <t xml:space="preserve">GUILHERME BITENCOURT DE FREITAS</t>
  </si>
  <si>
    <t xml:space="preserve">Empresa nova, so encontrada em Controle de Documentos.xlsx (GERAL(3), colaborador 'Guilherme'). CNPJ e endereco nao informados na fonte.</t>
  </si>
  <si>
    <t xml:space="preserve">EMP-022</t>
  </si>
  <si>
    <t xml:space="preserve">MOSQUITO ESCADAS E ESTEIRAS ROLANTES</t>
  </si>
  <si>
    <t xml:space="preserve">Empresa nova, so encontrada em Controle de Documentos.xlsx (GERAL(3), colaborador 'Edinaldo dos Santos'). CNPJ e endereco nao informados na fonte. Nome original grafado 'MOSQUITO ESCADAS E ESTERIAS ROLANTES' (provavel erro de digitacao de 'ESTEIRAS') — corrigido aqui.</t>
  </si>
  <si>
    <t xml:space="preserve">EMP-023</t>
  </si>
  <si>
    <t xml:space="preserve">VDR MONTAGENS LTDA</t>
  </si>
  <si>
    <t xml:space="preserve">Empresa nova — aparece em Controle de Documentos.xlsx (GERAL(3), colaborador 'Lucas Franco') e na aba Hospital SC (colaborador 'Lucas'). CNPJ e endereco nao informados na fonte.</t>
  </si>
  <si>
    <t xml:space="preserve">EMP-024</t>
  </si>
  <si>
    <t xml:space="preserve">VERTICAL TECH ELEVADORES LTDA</t>
  </si>
  <si>
    <t xml:space="preserve">Empresa nova — aparece em Controle de Documentos.xlsx (GERAL(3), colaborador 'Cleiton Navas') e na aba Hospital SC (colaborador 'Cleiton'). Nome original grafado 'VERTICAL TECH ELEVADORS LTDA' (provavel erro de digitacao de 'ELEVADORES') — corrigido aqui. CNPJ e endereco nao informados.</t>
  </si>
  <si>
    <t xml:space="preserve">EMP-025</t>
  </si>
  <si>
    <t xml:space="preserve">VERTICALPARTS</t>
  </si>
  <si>
    <t xml:space="preserve">ATENCAO: aparece na GERAL(3) como se fosse uma empresa terceirizada (colaboradores Gesse Batista, Mauricio Sanchez, Vinicius Ramos), grafada tambem como 'VERTICAPARTS' (erro de digitacao). Pode ser a propria VerticalParts (empresa contratante), nao uma subcontratada — CONFIRMAR antes de tratar como empresa instaladora terceirizada.</t>
  </si>
  <si>
    <t xml:space="preserve">ID_Colaborador</t>
  </si>
  <si>
    <t xml:space="preserve">CPF</t>
  </si>
  <si>
    <t xml:space="preserve">RG</t>
  </si>
  <si>
    <t xml:space="preserve">CNH</t>
  </si>
  <si>
    <t xml:space="preserve">Nome_Completo</t>
  </si>
  <si>
    <t xml:space="preserve">Tipo_Vinculo</t>
  </si>
  <si>
    <t xml:space="preserve">COL-001</t>
  </si>
  <si>
    <t xml:space="preserve">7123679432</t>
  </si>
  <si>
    <t xml:space="preserve">Ativo</t>
  </si>
  <si>
    <t xml:space="preserve">CNH gravada como numero na planilha original (perde zero a esquerda) — confirmar os 11 digitos corretos.</t>
  </si>
  <si>
    <t xml:space="preserve">COL-002</t>
  </si>
  <si>
    <t xml:space="preserve">00796038480</t>
  </si>
  <si>
    <t xml:space="preserve">COL-003</t>
  </si>
  <si>
    <t xml:space="preserve">07631999812</t>
  </si>
  <si>
    <t xml:space="preserve">R LINGUADO</t>
  </si>
  <si>
    <t xml:space="preserve">SANTA LUZIA</t>
  </si>
  <si>
    <t xml:space="preserve">88200-000</t>
  </si>
  <si>
    <t xml:space="preserve">COL-004</t>
  </si>
  <si>
    <t xml:space="preserve">01765244690</t>
  </si>
  <si>
    <t xml:space="preserve">ANTONIO DA SILVA PALACIOS</t>
  </si>
  <si>
    <t xml:space="preserve">COL-005</t>
  </si>
  <si>
    <t xml:space="preserve">05353694666</t>
  </si>
  <si>
    <t xml:space="preserve">SERGIO MARCOS LEONCIO</t>
  </si>
  <si>
    <t xml:space="preserve">COL-006</t>
  </si>
  <si>
    <t xml:space="preserve">05140368402</t>
  </si>
  <si>
    <t xml:space="preserve">SIDNEY ALVES DOS SANTOS</t>
  </si>
  <si>
    <t xml:space="preserve">COL-007</t>
  </si>
  <si>
    <t xml:space="preserve">20.113.969-8</t>
  </si>
  <si>
    <t xml:space="preserve">R DAS UNIOES</t>
  </si>
  <si>
    <t xml:space="preserve">08574-400</t>
  </si>
  <si>
    <t xml:space="preserve">COL-008</t>
  </si>
  <si>
    <t xml:space="preserve">05753158046</t>
  </si>
  <si>
    <t xml:space="preserve">COL-009</t>
  </si>
  <si>
    <t xml:space="preserve">05071494068</t>
  </si>
  <si>
    <t xml:space="preserve">COL-010</t>
  </si>
  <si>
    <t xml:space="preserve">454.718.548-45</t>
  </si>
  <si>
    <t xml:space="preserve">ERNANDO LOPES VIANA DA SILVA</t>
  </si>
  <si>
    <t xml:space="preserve">Na planilha original o RG estava preenchido com o mesmo valor do CPF (454.718.548-45) — RG real fica em aberto ate confirmar.</t>
  </si>
  <si>
    <t xml:space="preserve">COL-011</t>
  </si>
  <si>
    <t xml:space="preserve">075759506685</t>
  </si>
  <si>
    <t xml:space="preserve">ISMAEL BEREZZA LOPES</t>
  </si>
  <si>
    <t xml:space="preserve">CNH com 12 digitos na planilha original — CNH valida tem 11 digitos, provavel erro de digitacao a confirmar.</t>
  </si>
  <si>
    <t xml:space="preserve">COL-012</t>
  </si>
  <si>
    <t xml:space="preserve">03932810303</t>
  </si>
  <si>
    <t xml:space="preserve">COL-013</t>
  </si>
  <si>
    <t xml:space="preserve">05015245137</t>
  </si>
  <si>
    <t xml:space="preserve">RICARDO SEVERINO DA SILVA</t>
  </si>
  <si>
    <t xml:space="preserve">COL-014</t>
  </si>
  <si>
    <t xml:space="preserve">04543171125</t>
  </si>
  <si>
    <t xml:space="preserve">CARLOS ALBERTO CARVALHO DA SILVA</t>
  </si>
  <si>
    <t xml:space="preserve">COL-015</t>
  </si>
  <si>
    <t xml:space="preserve">22027609</t>
  </si>
  <si>
    <t xml:space="preserve">07943131410</t>
  </si>
  <si>
    <t xml:space="preserve">KAUA WENDEL MENGALI DOMINGOS</t>
  </si>
  <si>
    <t xml:space="preserve">COL-016</t>
  </si>
  <si>
    <t xml:space="preserve">02793998701</t>
  </si>
  <si>
    <t xml:space="preserve">COL-017</t>
  </si>
  <si>
    <t xml:space="preserve">04401142303</t>
  </si>
  <si>
    <t xml:space="preserve">COL-018</t>
  </si>
  <si>
    <t xml:space="preserve">06134503425</t>
  </si>
  <si>
    <t xml:space="preserve">COL-019</t>
  </si>
  <si>
    <t xml:space="preserve">298.440.068-30</t>
  </si>
  <si>
    <t xml:space="preserve">01639658250</t>
  </si>
  <si>
    <t xml:space="preserve">ANDERSON DA SILVA</t>
  </si>
  <si>
    <t xml:space="preserve">Na planilha original o RG estava preenchido com o mesmo valor do CPF (298.440.068-30) — RG real fica em aberto ate confirmar.</t>
  </si>
  <si>
    <t xml:space="preserve">COL-020</t>
  </si>
  <si>
    <t xml:space="preserve">07376931649</t>
  </si>
  <si>
    <t xml:space="preserve">WALISON TANDI AZEVEDO DE OLIVEIRA MELO</t>
  </si>
  <si>
    <t xml:space="preserve">COL-021</t>
  </si>
  <si>
    <t xml:space="preserve">AGOSTINHO GONCALVES CORDEIRO</t>
  </si>
  <si>
    <t xml:space="preserve">COL-022</t>
  </si>
  <si>
    <t xml:space="preserve">FRANCISCO DE ASSIS SANTOS NASCIMENTO</t>
  </si>
  <si>
    <t xml:space="preserve">COL-023</t>
  </si>
  <si>
    <t xml:space="preserve">JOAO PAULO BATISTA DOS SANTOS</t>
  </si>
  <si>
    <t xml:space="preserve">COL-024</t>
  </si>
  <si>
    <t xml:space="preserve">COL-025</t>
  </si>
  <si>
    <t xml:space="preserve">SAMUEL VICENTE NAZARO DA SILVA</t>
  </si>
  <si>
    <t xml:space="preserve">COL-026</t>
  </si>
  <si>
    <t xml:space="preserve">04062677057</t>
  </si>
  <si>
    <t xml:space="preserve">JOAO MARIA CANDIDO DE OLIVEIRA</t>
  </si>
  <si>
    <t xml:space="preserve">COL-027</t>
  </si>
  <si>
    <t xml:space="preserve">02574407004</t>
  </si>
  <si>
    <t xml:space="preserve">MANOEL SEVERO NETO</t>
  </si>
  <si>
    <t xml:space="preserve">COL-028</t>
  </si>
  <si>
    <t xml:space="preserve">05946844447</t>
  </si>
  <si>
    <t xml:space="preserve">RAFAEL PEREIRA DE LIMA</t>
  </si>
  <si>
    <t xml:space="preserve">COL-029</t>
  </si>
  <si>
    <t xml:space="preserve">ANDERSON CARLOS DE SOUSA DA SILVA</t>
  </si>
  <si>
    <t xml:space="preserve">COL-030</t>
  </si>
  <si>
    <t xml:space="preserve">05465304836</t>
  </si>
  <si>
    <t xml:space="preserve">AVANY MAIA DOS REIS</t>
  </si>
  <si>
    <t xml:space="preserve">COL-031</t>
  </si>
  <si>
    <t xml:space="preserve">07245077336</t>
  </si>
  <si>
    <t xml:space="preserve">BELION FELIPE FERNANDES CORREIA</t>
  </si>
  <si>
    <t xml:space="preserve">COL-032</t>
  </si>
  <si>
    <t xml:space="preserve">04190355647</t>
  </si>
  <si>
    <t xml:space="preserve">CARLOS JORGE DA SILVA</t>
  </si>
  <si>
    <t xml:space="preserve">COL-033</t>
  </si>
  <si>
    <t xml:space="preserve">05313891003</t>
  </si>
  <si>
    <t xml:space="preserve">DANIEL APARECIDO DOS REIS FELICIANO</t>
  </si>
  <si>
    <t xml:space="preserve">COL-034</t>
  </si>
  <si>
    <t xml:space="preserve">ELSON RICARDO BATISTA PINTO</t>
  </si>
  <si>
    <t xml:space="preserve">COL-035</t>
  </si>
  <si>
    <t xml:space="preserve">05941652100</t>
  </si>
  <si>
    <t xml:space="preserve">EVERTON VICTOR SANTOS PEREIRA</t>
  </si>
  <si>
    <t xml:space="preserve">COL-036</t>
  </si>
  <si>
    <t xml:space="preserve">06392033495</t>
  </si>
  <si>
    <t xml:space="preserve">GUSTAVO RODRIGUES DE AZEVEDO</t>
  </si>
  <si>
    <t xml:space="preserve">COL-037</t>
  </si>
  <si>
    <t xml:space="preserve">MARTHOS VINICIO FERREIRA RAMOS</t>
  </si>
  <si>
    <t xml:space="preserve">COL-038</t>
  </si>
  <si>
    <t xml:space="preserve">04845246604</t>
  </si>
  <si>
    <t xml:space="preserve">MATHEUS MOTA RIBEIRO</t>
  </si>
  <si>
    <t xml:space="preserve">COL-039</t>
  </si>
  <si>
    <t xml:space="preserve">PAULO CESAR ALVES DA SILVA</t>
  </si>
  <si>
    <t xml:space="preserve">Na planilha original havia '62193555397' no campo RG — parece um CPF (11 digitos), nao um RG. Confirmar RG e CPF reais.</t>
  </si>
  <si>
    <t xml:space="preserve">COL-040</t>
  </si>
  <si>
    <t xml:space="preserve">07767534150</t>
  </si>
  <si>
    <t xml:space="preserve">YOANDERSON COSTA DOS SANTOS</t>
  </si>
  <si>
    <t xml:space="preserve">COL-041</t>
  </si>
  <si>
    <t xml:space="preserve">GABRIEL SCHURT (proprietario)</t>
  </si>
  <si>
    <t xml:space="preserve">NOVO — nao existia em Planilha Organizar (1).xlsx. Encontrado na aba Hospital SC de Controle de Documentos.xlsx (coluna da empresa 60.555.952 GABRIEL SCHURT). Provavelmente proprietario = colaborador principal desta empresa individual.</t>
  </si>
  <si>
    <t xml:space="preserve">COL-042</t>
  </si>
  <si>
    <t xml:space="preserve">MARCIO MARTINS</t>
  </si>
  <si>
    <t xml:space="preserve">NOVO — encontrado em Controle de Documentos.xlsx (GERAL(3), empresa 'LUIS FERNANDO BUENO DE CAMARGO'). Sem CPF/RG/CNH informados.</t>
  </si>
  <si>
    <t xml:space="preserve">COL-043</t>
  </si>
  <si>
    <t xml:space="preserve">EDINALDO DOS SANTOS</t>
  </si>
  <si>
    <t xml:space="preserve">NOVO — encontrado em Controle de Documentos.xlsx (GERAL(3), empresa 'MOSQUITO ESCADAS E ESTEIRAS ROLANTES'). Sem CPF/RG/CNH informados.</t>
  </si>
  <si>
    <t xml:space="preserve">COL-044</t>
  </si>
  <si>
    <t xml:space="preserve">NOVO — colaborador e nome da empresa individual coincidem (provavel proprietario). Sem CPF/RG/CNH informados.</t>
  </si>
  <si>
    <t xml:space="preserve">COL-045</t>
  </si>
  <si>
    <t xml:space="preserve">DINHO</t>
  </si>
  <si>
    <t xml:space="preserve">NOVO — encontrado em Controle de Documentos.xlsx (GERAL(3), empresa RN ESCAL). Provavel apelido — nome completo a confirmar.</t>
  </si>
  <si>
    <t xml:space="preserve">COL-046</t>
  </si>
  <si>
    <t xml:space="preserve">PAULO SILVA</t>
  </si>
  <si>
    <t xml:space="preserve">NOVO — encontrado em Controle de Documentos.xlsx (GERAL(3), empresa RN ESCAL) e na aba Paraguacu (mesma pessoa).</t>
  </si>
  <si>
    <t xml:space="preserve">COL-047</t>
  </si>
  <si>
    <t xml:space="preserve">DENILSON ABREU</t>
  </si>
  <si>
    <t xml:space="preserve">NOVO — encontrado tambem na aba Paraguacu (mesma pessoa, RN Escal/RN Scal atua nessa obra).</t>
  </si>
  <si>
    <t xml:space="preserve">COL-048</t>
  </si>
  <si>
    <t xml:space="preserve">JOSUE SANTOS</t>
  </si>
  <si>
    <t xml:space="preserve">NOVO — encontrado tambem na aba Paraguacu (mesma pessoa).</t>
  </si>
  <si>
    <t xml:space="preserve">COL-049</t>
  </si>
  <si>
    <t xml:space="preserve">MARCELO SANTOS</t>
  </si>
  <si>
    <t xml:space="preserve">COL-050</t>
  </si>
  <si>
    <t xml:space="preserve">LUCAS FRANCO</t>
  </si>
  <si>
    <t xml:space="preserve">NOVO — encontrado em Controle de Documentos.xlsx (GERAL(3), empresa VDR MONTAGENS LTDA) e na aba Hospital SC (mesma pessoa, 'Lucas').</t>
  </si>
  <si>
    <t xml:space="preserve">COL-051</t>
  </si>
  <si>
    <t xml:space="preserve">CLEITON NAVAS</t>
  </si>
  <si>
    <t xml:space="preserve">NOVO — encontrado em Controle de Documentos.xlsx (GERAL(3), empresa VERTICAL TECH ELEVADORES LTDA) e na aba Hospital SC (mesma pessoa, 'Cleiton').</t>
  </si>
  <si>
    <t xml:space="preserve">COL-052</t>
  </si>
  <si>
    <t xml:space="preserve">GESSE BATISTA</t>
  </si>
  <si>
    <t xml:space="preserve">NOVO — ver observacao na aba Empresas sobre 'VERTICALPARTS' possivelmente ser a propria contratante, nao uma terceirizada.</t>
  </si>
  <si>
    <t xml:space="preserve">COL-053</t>
  </si>
  <si>
    <t xml:space="preserve">MAURICIO SANCHEZ</t>
  </si>
  <si>
    <t xml:space="preserve">NOVO — idem.</t>
  </si>
  <si>
    <t xml:space="preserve">COL-054</t>
  </si>
  <si>
    <t xml:space="preserve">VINICIUS RAMOS</t>
  </si>
  <si>
    <t xml:space="preserve">NOVO — idem. Nao havia nenhum documento preenchido para esta pessoa na fonte.</t>
  </si>
  <si>
    <t xml:space="preserve">ID_Vinculo</t>
  </si>
  <si>
    <t xml:space="preserve">Nome_Colaborador</t>
  </si>
  <si>
    <t xml:space="preserve">Razao_Social_Empresa</t>
  </si>
  <si>
    <t xml:space="preserve">Funcao</t>
  </si>
  <si>
    <t xml:space="preserve">Data_Inicio</t>
  </si>
  <si>
    <t xml:space="preserve">Data_Fim</t>
  </si>
  <si>
    <t xml:space="preserve">Vinculo_Principal</t>
  </si>
  <si>
    <t xml:space="preserve">VIN-001</t>
  </si>
  <si>
    <t xml:space="preserve">SIM</t>
  </si>
  <si>
    <t xml:space="preserve">VIN-002</t>
  </si>
  <si>
    <t xml:space="preserve">VIN-003</t>
  </si>
  <si>
    <t xml:space="preserve">VIN-004</t>
  </si>
  <si>
    <t xml:space="preserve">VIN-005</t>
  </si>
  <si>
    <t xml:space="preserve">VIN-006</t>
  </si>
  <si>
    <t xml:space="preserve">VIN-007</t>
  </si>
  <si>
    <t xml:space="preserve">VIN-008</t>
  </si>
  <si>
    <t xml:space="preserve">VIN-009</t>
  </si>
  <si>
    <t xml:space="preserve">VIN-010</t>
  </si>
  <si>
    <t xml:space="preserve">VIN-011</t>
  </si>
  <si>
    <t xml:space="preserve">VIN-012</t>
  </si>
  <si>
    <t xml:space="preserve">VIN-013</t>
  </si>
  <si>
    <t xml:space="preserve">VIN-014</t>
  </si>
  <si>
    <t xml:space="preserve">VIN-015</t>
  </si>
  <si>
    <t xml:space="preserve">VIN-016</t>
  </si>
  <si>
    <t xml:space="preserve">VIN-017</t>
  </si>
  <si>
    <t xml:space="preserve">VIN-018</t>
  </si>
  <si>
    <t xml:space="preserve">VIN-019</t>
  </si>
  <si>
    <t xml:space="preserve">VIN-020</t>
  </si>
  <si>
    <t xml:space="preserve">VIN-021</t>
  </si>
  <si>
    <t xml:space="preserve">VIN-022</t>
  </si>
  <si>
    <t xml:space="preserve">VIN-023</t>
  </si>
  <si>
    <t xml:space="preserve">VIN-024</t>
  </si>
  <si>
    <t xml:space="preserve">VIN-025</t>
  </si>
  <si>
    <t xml:space="preserve">VIN-026</t>
  </si>
  <si>
    <t xml:space="preserve">VIN-027</t>
  </si>
  <si>
    <t xml:space="preserve">VIN-028</t>
  </si>
  <si>
    <t xml:space="preserve">VIN-029</t>
  </si>
  <si>
    <t xml:space="preserve">VIN-030</t>
  </si>
  <si>
    <t xml:space="preserve">VIN-031</t>
  </si>
  <si>
    <t xml:space="preserve">VIN-032</t>
  </si>
  <si>
    <t xml:space="preserve">VIN-033</t>
  </si>
  <si>
    <t xml:space="preserve">VIN-034</t>
  </si>
  <si>
    <t xml:space="preserve">VIN-035</t>
  </si>
  <si>
    <t xml:space="preserve">VIN-036</t>
  </si>
  <si>
    <t xml:space="preserve">VIN-037</t>
  </si>
  <si>
    <t xml:space="preserve">VIN-038</t>
  </si>
  <si>
    <t xml:space="preserve">VIN-039</t>
  </si>
  <si>
    <t xml:space="preserve">VIN-040</t>
  </si>
  <si>
    <t xml:space="preserve">VIN-041</t>
  </si>
  <si>
    <t xml:space="preserve">VIN-042</t>
  </si>
  <si>
    <t xml:space="preserve">VIN-043</t>
  </si>
  <si>
    <t xml:space="preserve">VIN-044</t>
  </si>
  <si>
    <t xml:space="preserve">VIN-045</t>
  </si>
  <si>
    <t xml:space="preserve">VIN-046</t>
  </si>
  <si>
    <t xml:space="preserve">VIN-047</t>
  </si>
  <si>
    <t xml:space="preserve">VIN-048</t>
  </si>
  <si>
    <t xml:space="preserve">VIN-049</t>
  </si>
  <si>
    <t xml:space="preserve">VIN-050</t>
  </si>
  <si>
    <t xml:space="preserve">VIN-051</t>
  </si>
  <si>
    <t xml:space="preserve">VIN-052</t>
  </si>
  <si>
    <t xml:space="preserve">VIN-053</t>
  </si>
  <si>
    <t xml:space="preserve">VIN-054</t>
  </si>
  <si>
    <t xml:space="preserve">ID_Especialidade</t>
  </si>
  <si>
    <t xml:space="preserve">Nome</t>
  </si>
  <si>
    <t xml:space="preserve">ESP-01</t>
  </si>
  <si>
    <t xml:space="preserve">Elevador</t>
  </si>
  <si>
    <t xml:space="preserve">Confirmado pela obra Metro SP ('DESMONTAGEM DE 2 ELEVADORES'). Lista completa a confirmar com Gelson.</t>
  </si>
  <si>
    <t xml:space="preserve">ESP-02</t>
  </si>
  <si>
    <t xml:space="preserve">Escada Rolante</t>
  </si>
  <si>
    <t xml:space="preserve">ESP-03</t>
  </si>
  <si>
    <t xml:space="preserve">Esteira Rolante</t>
  </si>
  <si>
    <t xml:space="preserve">ID_Obra</t>
  </si>
  <si>
    <t xml:space="preserve">Cliente_Construtora</t>
  </si>
  <si>
    <t xml:space="preserve">Endereco</t>
  </si>
  <si>
    <t xml:space="preserve">Data_Inicio_Prevista</t>
  </si>
  <si>
    <t xml:space="preserve">Data_Inicio_Real</t>
  </si>
  <si>
    <t xml:space="preserve">Data_Fim_Prevista</t>
  </si>
  <si>
    <t xml:space="preserve">Data_Fim_Real</t>
  </si>
  <si>
    <t xml:space="preserve">OBR-001</t>
  </si>
  <si>
    <t xml:space="preserve">Metro SP</t>
  </si>
  <si>
    <t xml:space="preserve">Obra de desmontagem de 2 elevadores, executada pela Oliver Elevadores LTDA.</t>
  </si>
  <si>
    <t xml:space="preserve">OBR-002</t>
  </si>
  <si>
    <t xml:space="preserve">Metro BH</t>
  </si>
  <si>
    <t xml:space="preserve">Equipe ESCAMAX (matriz) atuando.</t>
  </si>
  <si>
    <t xml:space="preserve">OBR-003</t>
  </si>
  <si>
    <t xml:space="preserve">Hospital SC</t>
  </si>
  <si>
    <t xml:space="preserve">6 empresas diferentes alocadas — ver Obra_Empresa.</t>
  </si>
  <si>
    <t xml:space="preserve">OBR-004</t>
  </si>
  <si>
    <t xml:space="preserve">Paraguaçu</t>
  </si>
  <si>
    <t xml:space="preserve">Equipe RN SCAL / RN Escal atuando.</t>
  </si>
  <si>
    <t xml:space="preserve">OBR-005</t>
  </si>
  <si>
    <t xml:space="preserve">Vip Gales</t>
  </si>
  <si>
    <t xml:space="preserve">Equipe LR Grup Elevadores atuando.</t>
  </si>
  <si>
    <t xml:space="preserve">OBR-006</t>
  </si>
  <si>
    <t xml:space="preserve">Goiabeiras</t>
  </si>
  <si>
    <t xml:space="preserve">Aba totalmente vazia na planilha antiga — nenhuma empresa/colaborador confirmado ainda.</t>
  </si>
  <si>
    <t xml:space="preserve">ID_Alocacao</t>
  </si>
  <si>
    <t xml:space="preserve">Nome_Obra</t>
  </si>
  <si>
    <t xml:space="preserve">Nome_Empresa</t>
  </si>
  <si>
    <t xml:space="preserve">Papel</t>
  </si>
  <si>
    <t xml:space="preserve">ALOC-001</t>
  </si>
  <si>
    <t xml:space="preserve">Alocacao inferida a partir dos documentos enviados na aba desta obra em Controle de Documentos.xlsx.</t>
  </si>
  <si>
    <t xml:space="preserve">ALOC-002</t>
  </si>
  <si>
    <t xml:space="preserve">ALOC-003</t>
  </si>
  <si>
    <t xml:space="preserve">ALOC-004</t>
  </si>
  <si>
    <t xml:space="preserve">ALOC-005</t>
  </si>
  <si>
    <t xml:space="preserve">ALOC-006</t>
  </si>
  <si>
    <t xml:space="preserve">ALOC-007</t>
  </si>
  <si>
    <t xml:space="preserve">ALOC-008</t>
  </si>
  <si>
    <t xml:space="preserve">ALOC-009</t>
  </si>
  <si>
    <t xml:space="preserve">ALOC-010</t>
  </si>
  <si>
    <t xml:space="preserve">ID</t>
  </si>
  <si>
    <t xml:space="preserve">Nome_Obra_Empresa</t>
  </si>
  <si>
    <t xml:space="preserve">Nome_Especialidade</t>
  </si>
  <si>
    <t xml:space="preserve">ESPOE-001</t>
  </si>
  <si>
    <t xml:space="preserve">Unica associacao confirmada pela fonte ('DESMONTAGEM DE 2 ELEVADORES' na aba Metro SP).</t>
  </si>
  <si>
    <t xml:space="preserve">ID_Documento</t>
  </si>
  <si>
    <t xml:space="preserve">Escopo</t>
  </si>
  <si>
    <t xml:space="preserve">Periodicidade</t>
  </si>
  <si>
    <t xml:space="preserve">Obrigatorio</t>
  </si>
  <si>
    <t xml:space="preserve">Origem_na_planilha_antiga</t>
  </si>
  <si>
    <t xml:space="preserve">DOC-001</t>
  </si>
  <si>
    <t xml:space="preserve">colaborador</t>
  </si>
  <si>
    <t xml:space="preserve">decenal</t>
  </si>
  <si>
    <t xml:space="preserve">Controle de Documentos.xlsx (GERAL)</t>
  </si>
  <si>
    <t xml:space="preserve">Periodicidade herdada do titulo da coluna na planilha antiga (Controle de Documentos.xlsx) — nao foi conferida contra a norma vigente do MTE. Confirmar antes de usar em alerta automatico de vencimento.</t>
  </si>
  <si>
    <t xml:space="preserve">DOC-002</t>
  </si>
  <si>
    <t xml:space="preserve">indeterminado</t>
  </si>
  <si>
    <t xml:space="preserve">DOC-003</t>
  </si>
  <si>
    <t xml:space="preserve">NAO</t>
  </si>
  <si>
    <t xml:space="preserve">Periodicidade herdada do titulo da coluna na planilha antiga (Controle de Documentos.xlsx) — nao foi conferida contra a norma vigente do MTE. Confirmar antes de usar em alerta automatico de vencimento. CNH pode vencer em 5 ou 10 anos dependendo da idade do condutor — confirmar regra.</t>
  </si>
  <si>
    <t xml:space="preserve">DOC-004</t>
  </si>
  <si>
    <t xml:space="preserve">ASO</t>
  </si>
  <si>
    <t xml:space="preserve">a_confirmar</t>
  </si>
  <si>
    <t xml:space="preserve">As duas abas GERAL da planilha antiga divergiam entre data real e 'INDETERMINADO' para o mesmo colaborador — usei GERAL(3) como fonte (ver Leia-me).</t>
  </si>
  <si>
    <t xml:space="preserve">DOC-005</t>
  </si>
  <si>
    <t xml:space="preserve">CNPJ (situacao cadastral)</t>
  </si>
  <si>
    <t xml:space="preserve">empresa</t>
  </si>
  <si>
    <t xml:space="preserve">DOC-006</t>
  </si>
  <si>
    <t xml:space="preserve">Certificado da NR01 — Empresa</t>
  </si>
  <si>
    <t xml:space="preserve">vinculado_pgr</t>
  </si>
  <si>
    <t xml:space="preserve">Controle de Documentos.xlsx / Planilha Organizar (Doc_Empresa)</t>
  </si>
  <si>
    <t xml:space="preserve">Renovada junto da PGR — nao tem vencimento proprio.</t>
  </si>
  <si>
    <t xml:space="preserve">DOC-007</t>
  </si>
  <si>
    <t xml:space="preserve">Certificado da NR01 — Colaborador</t>
  </si>
  <si>
    <t xml:space="preserve">Controle de Documentos.xlsx / Planilha Organizar (Doc_Funcionario)</t>
  </si>
  <si>
    <t xml:space="preserve">DOC-008</t>
  </si>
  <si>
    <t xml:space="preserve">Certificado da NR06 — Empresa</t>
  </si>
  <si>
    <t xml:space="preserve">anual</t>
  </si>
  <si>
    <t xml:space="preserve">DOC-009</t>
  </si>
  <si>
    <t xml:space="preserve">Certificado da NR06 — Colaborador</t>
  </si>
  <si>
    <t xml:space="preserve">DOC-010</t>
  </si>
  <si>
    <t xml:space="preserve">Certificado da NR10 — Empresa</t>
  </si>
  <si>
    <t xml:space="preserve">bienal</t>
  </si>
  <si>
    <t xml:space="preserve">DOC-011</t>
  </si>
  <si>
    <t xml:space="preserve">Certificado da NR10 — Colaborador</t>
  </si>
  <si>
    <t xml:space="preserve">DOC-012</t>
  </si>
  <si>
    <t xml:space="preserve">Carta de anuencia (NR10) — Empresa</t>
  </si>
  <si>
    <t xml:space="preserve">Planilha antiga nao trazia periodicidade para este documento — confirmar com Gelson/Felipe.</t>
  </si>
  <si>
    <t xml:space="preserve">DOC-013</t>
  </si>
  <si>
    <t xml:space="preserve">Carta de anuencia (NR10) — Colaborador</t>
  </si>
  <si>
    <t xml:space="preserve">DOC-014</t>
  </si>
  <si>
    <t xml:space="preserve">Certificado da NR11 — Empresa</t>
  </si>
  <si>
    <t xml:space="preserve">DOC-015</t>
  </si>
  <si>
    <t xml:space="preserve">Certificado da NR11 — Colaborador</t>
  </si>
  <si>
    <t xml:space="preserve">DOC-016</t>
  </si>
  <si>
    <t xml:space="preserve">Certificado da NR12 — Empresa</t>
  </si>
  <si>
    <t xml:space="preserve">DOC-017</t>
  </si>
  <si>
    <t xml:space="preserve">Certificado da NR12 — Colaborador</t>
  </si>
  <si>
    <t xml:space="preserve">DOC-018</t>
  </si>
  <si>
    <t xml:space="preserve">Carta de anuencia (NR12) — Empresa</t>
  </si>
  <si>
    <t xml:space="preserve">DOC-019</t>
  </si>
  <si>
    <t xml:space="preserve">Carta de anuencia (NR12) — Colaborador</t>
  </si>
  <si>
    <t xml:space="preserve">DOC-020</t>
  </si>
  <si>
    <t xml:space="preserve">Certificado da NR17 — Empresa</t>
  </si>
  <si>
    <t xml:space="preserve">DOC-021</t>
  </si>
  <si>
    <t xml:space="preserve">Certificado da NR17 — Colaborador</t>
  </si>
  <si>
    <t xml:space="preserve">DOC-022</t>
  </si>
  <si>
    <t xml:space="preserve">Certificado da NR18 — Empresa</t>
  </si>
  <si>
    <t xml:space="preserve">DOC-023</t>
  </si>
  <si>
    <t xml:space="preserve">Certificado da NR18 — Colaborador</t>
  </si>
  <si>
    <t xml:space="preserve">DOC-024</t>
  </si>
  <si>
    <t xml:space="preserve">Certificado da NR33 — Empresa</t>
  </si>
  <si>
    <t xml:space="preserve">DOC-025</t>
  </si>
  <si>
    <t xml:space="preserve">Certificado da NR33 — Colaborador</t>
  </si>
  <si>
    <t xml:space="preserve">DOC-026</t>
  </si>
  <si>
    <t xml:space="preserve">Carta de anuencia (NR33) — Empresa</t>
  </si>
  <si>
    <t xml:space="preserve">DOC-027</t>
  </si>
  <si>
    <t xml:space="preserve">Carta de anuencia (NR33) — Colaborador</t>
  </si>
  <si>
    <t xml:space="preserve">DOC-028</t>
  </si>
  <si>
    <t xml:space="preserve">Certificado da NR34 — Empresa</t>
  </si>
  <si>
    <t xml:space="preserve">DOC-029</t>
  </si>
  <si>
    <t xml:space="preserve">Certificado da NR34 — Colaborador</t>
  </si>
  <si>
    <t xml:space="preserve">DOC-030</t>
  </si>
  <si>
    <t xml:space="preserve">Certificado da NR35 — Empresa</t>
  </si>
  <si>
    <t xml:space="preserve">DOC-031</t>
  </si>
  <si>
    <t xml:space="preserve">Certificado da NR35 — Colaborador</t>
  </si>
  <si>
    <t xml:space="preserve">DOC-032</t>
  </si>
  <si>
    <t xml:space="preserve">Carta de anuencia (NR35) — Empresa</t>
  </si>
  <si>
    <t xml:space="preserve">DOC-033</t>
  </si>
  <si>
    <t xml:space="preserve">Carta de anuencia (NR35) — Colaborador</t>
  </si>
  <si>
    <t xml:space="preserve">DOC-034</t>
  </si>
  <si>
    <t xml:space="preserve">Ficha de Registro</t>
  </si>
  <si>
    <t xml:space="preserve">Planilha Organizar / abas por obra</t>
  </si>
  <si>
    <t xml:space="preserve">DOC-035</t>
  </si>
  <si>
    <t xml:space="preserve">E-social</t>
  </si>
  <si>
    <t xml:space="preserve">Planilha Organizar (Doc_Funcionario)</t>
  </si>
  <si>
    <t xml:space="preserve">DOC-036</t>
  </si>
  <si>
    <t xml:space="preserve">Contrato de Trabalho</t>
  </si>
  <si>
    <t xml:space="preserve">DOC-037</t>
  </si>
  <si>
    <t xml:space="preserve">Contrato Experiencia</t>
  </si>
  <si>
    <t xml:space="preserve">evento_unico</t>
  </si>
  <si>
    <t xml:space="preserve">Aplica-se apenas durante o periodo de experiencia.</t>
  </si>
  <si>
    <t xml:space="preserve">DOC-038</t>
  </si>
  <si>
    <t xml:space="preserve">CTPS Digital</t>
  </si>
  <si>
    <t xml:space="preserve">Planilha original grafava tambem 'CPTS Digital' e 'CTPS' — mesma coisa.</t>
  </si>
  <si>
    <t xml:space="preserve">DOC-039</t>
  </si>
  <si>
    <t xml:space="preserve">Ordem de Servico</t>
  </si>
  <si>
    <t xml:space="preserve">DOC-040</t>
  </si>
  <si>
    <t xml:space="preserve">Ficha de EPI Atualizada</t>
  </si>
  <si>
    <t xml:space="preserve">Deve ser atualizada a cada novo EPI entregue.</t>
  </si>
  <si>
    <t xml:space="preserve">DOC-041</t>
  </si>
  <si>
    <t xml:space="preserve">Cartao de vacina (Tetano, Hepatite B e Febre amarela)</t>
  </si>
  <si>
    <t xml:space="preserve">DOC-042</t>
  </si>
  <si>
    <t xml:space="preserve">Cartao de vacina do Covid</t>
  </si>
  <si>
    <t xml:space="preserve">DOC-043</t>
  </si>
  <si>
    <t xml:space="preserve">Documento com foto (RG ou CNH apresentado)</t>
  </si>
  <si>
    <t xml:space="preserve">Metro BH / Hospital SC / Paraguacu</t>
  </si>
  <si>
    <t xml:space="preserve">A planilha antiga so registrava QUAL documento foi apresentado como identificacao, nao um documento a parte.</t>
  </si>
  <si>
    <t xml:space="preserve">DOC-044</t>
  </si>
  <si>
    <t xml:space="preserve">Comprovante de Residencia</t>
  </si>
  <si>
    <t xml:space="preserve">DOC-045</t>
  </si>
  <si>
    <t xml:space="preserve">Carteira de saude c/ Antitetanica</t>
  </si>
  <si>
    <t xml:space="preserve">DOC-046</t>
  </si>
  <si>
    <t xml:space="preserve">Demonstrativo e-Social com vinculo empregaticio</t>
  </si>
  <si>
    <t xml:space="preserve">DOC-047</t>
  </si>
  <si>
    <t xml:space="preserve">Foto 3x4</t>
  </si>
  <si>
    <t xml:space="preserve">DOC-048</t>
  </si>
  <si>
    <t xml:space="preserve">Seguro de Vida</t>
  </si>
  <si>
    <t xml:space="preserve">DOC-049</t>
  </si>
  <si>
    <t xml:space="preserve">PGR</t>
  </si>
  <si>
    <t xml:space="preserve">Controle de Documentos.xlsx (abas por obra)</t>
  </si>
  <si>
    <t xml:space="preserve">DOC-050</t>
  </si>
  <si>
    <t xml:space="preserve">PCMSO</t>
  </si>
  <si>
    <t xml:space="preserve">DOC-051</t>
  </si>
  <si>
    <t xml:space="preserve">Contrato Social</t>
  </si>
  <si>
    <t xml:space="preserve">DOC-052</t>
  </si>
  <si>
    <t xml:space="preserve">Inscricao Estadual / Municipal</t>
  </si>
  <si>
    <t xml:space="preserve">Nem toda empresa se aplica.</t>
  </si>
  <si>
    <t xml:space="preserve">DOC-053</t>
  </si>
  <si>
    <t xml:space="preserve">APR — Analise Preliminar de Risco</t>
  </si>
  <si>
    <t xml:space="preserve">DOC-054</t>
  </si>
  <si>
    <t xml:space="preserve">DARF</t>
  </si>
  <si>
    <t xml:space="preserve">mensal</t>
  </si>
  <si>
    <t xml:space="preserve">DOC-055</t>
  </si>
  <si>
    <t xml:space="preserve">DCTF</t>
  </si>
  <si>
    <t xml:space="preserve">DOC-056</t>
  </si>
  <si>
    <t xml:space="preserve">Curso de soldador para atividades com solda</t>
  </si>
  <si>
    <t xml:space="preserve">Paraguacu</t>
  </si>
  <si>
    <t xml:space="preserve">Aplica-se apenas a quem solda.</t>
  </si>
  <si>
    <t xml:space="preserve">DOC-057</t>
  </si>
  <si>
    <t xml:space="preserve">Curso de direcao defensiva para motoristas</t>
  </si>
  <si>
    <t xml:space="preserve">Aplica-se apenas a quem dirige veiculo da empresa.</t>
  </si>
  <si>
    <t xml:space="preserve">DOC-058</t>
  </si>
  <si>
    <t xml:space="preserve">Contrato de prestacao de servicos entre tomador e empreiteiro</t>
  </si>
  <si>
    <t xml:space="preserve">obra_compliance</t>
  </si>
  <si>
    <t xml:space="preserve">DOC-059</t>
  </si>
  <si>
    <t xml:space="preserve">Livro de Inspecao do canteiro de Obras</t>
  </si>
  <si>
    <t xml:space="preserve">DOC-060</t>
  </si>
  <si>
    <t xml:space="preserve">Inventario de riscos da obra</t>
  </si>
  <si>
    <t xml:space="preserve">DOC-061</t>
  </si>
  <si>
    <t xml:space="preserve">Alvara de Localizacao e Funcionamento (Prefeitura)</t>
  </si>
  <si>
    <t xml:space="preserve">Nao se aplica a MEI, segundo a fonte.</t>
  </si>
  <si>
    <t xml:space="preserve">DOC-062</t>
  </si>
  <si>
    <t xml:space="preserve">Documentos pessoais do empreiteiro e socios</t>
  </si>
  <si>
    <t xml:space="preserve">DOC-063</t>
  </si>
  <si>
    <t xml:space="preserve">Comprovante de endereco do empreiteiro e socios</t>
  </si>
  <si>
    <t xml:space="preserve">DOC-064</t>
  </si>
  <si>
    <t xml:space="preserve">Comprovante mensal de pagamento do Seguro de Vida dos Trabalhadores</t>
  </si>
  <si>
    <t xml:space="preserve">DOC-065</t>
  </si>
  <si>
    <t xml:space="preserve">Certidao de feitos trabalhistas do foro da sede do empreiteiro</t>
  </si>
  <si>
    <t xml:space="preserve">DOC-066</t>
  </si>
  <si>
    <t xml:space="preserve">Declaracao Treinamento do SECONCI</t>
  </si>
  <si>
    <t xml:space="preserve">DOC-067</t>
  </si>
  <si>
    <t xml:space="preserve">Declaracao da contabilidade do empreiteiro</t>
  </si>
  <si>
    <t xml:space="preserve">DOC-068</t>
  </si>
  <si>
    <t xml:space="preserve">Comprovante de pagamento de salarios</t>
  </si>
  <si>
    <t xml:space="preserve">DOC-069</t>
  </si>
  <si>
    <t xml:space="preserve">Comprovante de pagamento de ferias</t>
  </si>
  <si>
    <t xml:space="preserve">DOC-070</t>
  </si>
  <si>
    <t xml:space="preserve">Comprovante de pagamento de 13o salario</t>
  </si>
  <si>
    <t xml:space="preserve">DOC-071</t>
  </si>
  <si>
    <t xml:space="preserve">Comprovante de pagamento de FGTS</t>
  </si>
  <si>
    <t xml:space="preserve">DOC-072</t>
  </si>
  <si>
    <t xml:space="preserve">Comprovante de recolhimento de INSS</t>
  </si>
  <si>
    <t xml:space="preserve">DOC-073</t>
  </si>
  <si>
    <t xml:space="preserve">CND Federal (Receita Federal)</t>
  </si>
  <si>
    <t xml:space="preserve">DOC-074</t>
  </si>
  <si>
    <t xml:space="preserve">CND Estadual</t>
  </si>
  <si>
    <t xml:space="preserve">DOC-075</t>
  </si>
  <si>
    <t xml:space="preserve">CND Municipal</t>
  </si>
  <si>
    <t xml:space="preserve">DOC-076</t>
  </si>
  <si>
    <t xml:space="preserve">CRF — Certificado de Regularidade do FGTS</t>
  </si>
  <si>
    <t xml:space="preserve">DOC-077</t>
  </si>
  <si>
    <t xml:space="preserve">CNDT — Certidao Negativa de Debitos Trabalhistas</t>
  </si>
  <si>
    <t xml:space="preserve">DOC-078</t>
  </si>
  <si>
    <t xml:space="preserve">Declaracao de fornecimento de refeicao</t>
  </si>
  <si>
    <t xml:space="preserve">DOC-079</t>
  </si>
  <si>
    <t xml:space="preserve">Designado da CIPA (obras com mais de 5 funcionarios)</t>
  </si>
  <si>
    <t xml:space="preserve">Vip Gales / Goiabeiras</t>
  </si>
  <si>
    <t xml:space="preserve">ID_Registro</t>
  </si>
  <si>
    <t xml:space="preserve">Nome_Documento</t>
  </si>
  <si>
    <t xml:space="preserve">Data_Emissao</t>
  </si>
  <si>
    <t xml:space="preserve">Data_Vencimento</t>
  </si>
  <si>
    <t xml:space="preserve">Arquivo_Link</t>
  </si>
  <si>
    <t xml:space="preserve">REG-0001</t>
  </si>
  <si>
    <t xml:space="preserve">Marcado como INDETERMINADO na planilha antiga (documento existe, sem data de vencimento fixa).</t>
  </si>
  <si>
    <t xml:space="preserve">REG-0002</t>
  </si>
  <si>
    <t xml:space="preserve">REG-0003</t>
  </si>
  <si>
    <t xml:space="preserve">REG-0004</t>
  </si>
  <si>
    <t xml:space="preserve">REG-0005</t>
  </si>
  <si>
    <t xml:space="preserve">REG-0006</t>
  </si>
  <si>
    <t xml:space="preserve">REG-0007</t>
  </si>
  <si>
    <t xml:space="preserve">REG-0008</t>
  </si>
  <si>
    <t xml:space="preserve">REG-0009</t>
  </si>
  <si>
    <t xml:space="preserve">REG-0010</t>
  </si>
  <si>
    <t xml:space="preserve">REG-0011</t>
  </si>
  <si>
    <t xml:space="preserve">REG-0012</t>
  </si>
  <si>
    <t xml:space="preserve">REG-0013</t>
  </si>
  <si>
    <t xml:space="preserve">REG-0014</t>
  </si>
  <si>
    <t xml:space="preserve">REG-0015</t>
  </si>
  <si>
    <t xml:space="preserve">REG-0016</t>
  </si>
  <si>
    <t xml:space="preserve">REG-0017</t>
  </si>
  <si>
    <t xml:space="preserve">REG-0018</t>
  </si>
  <si>
    <t xml:space="preserve">REG-0019</t>
  </si>
  <si>
    <t xml:space="preserve">REG-0020</t>
  </si>
  <si>
    <t xml:space="preserve">REG-0021</t>
  </si>
  <si>
    <t xml:space="preserve">REG-0022</t>
  </si>
  <si>
    <t xml:space="preserve">REG-0023</t>
  </si>
  <si>
    <t xml:space="preserve">REG-0024</t>
  </si>
  <si>
    <t xml:space="preserve">REG-0025</t>
  </si>
  <si>
    <t xml:space="preserve">REG-0026</t>
  </si>
  <si>
    <t xml:space="preserve">REG-0027</t>
  </si>
  <si>
    <t xml:space="preserve">REG-0028</t>
  </si>
  <si>
    <t xml:space="preserve">REG-0029</t>
  </si>
  <si>
    <t xml:space="preserve">REG-0030</t>
  </si>
  <si>
    <t xml:space="preserve">REG-0031</t>
  </si>
  <si>
    <t xml:space="preserve">REG-0032</t>
  </si>
  <si>
    <t xml:space="preserve">REG-0033</t>
  </si>
  <si>
    <t xml:space="preserve">REG-0034</t>
  </si>
  <si>
    <t xml:space="preserve">REG-0035</t>
  </si>
  <si>
    <t xml:space="preserve">REG-0036</t>
  </si>
  <si>
    <t xml:space="preserve">REG-0037</t>
  </si>
  <si>
    <t xml:space="preserve">REG-0038</t>
  </si>
  <si>
    <t xml:space="preserve">REG-0039</t>
  </si>
  <si>
    <t xml:space="preserve">REG-0040</t>
  </si>
  <si>
    <t xml:space="preserve">REG-0041</t>
  </si>
  <si>
    <t xml:space="preserve">REG-0042</t>
  </si>
  <si>
    <t xml:space="preserve">REG-0043</t>
  </si>
  <si>
    <t xml:space="preserve">REG-0044</t>
  </si>
  <si>
    <t xml:space="preserve">Corrigido de '05/022028' (provavel 05/02/2028, faltava a barra) — confirmar.</t>
  </si>
  <si>
    <t xml:space="preserve">REG-0045</t>
  </si>
  <si>
    <t xml:space="preserve">REG-0046</t>
  </si>
  <si>
    <t xml:space="preserve">REG-0047</t>
  </si>
  <si>
    <t xml:space="preserve">REG-0048</t>
  </si>
  <si>
    <t xml:space="preserve">REG-0049</t>
  </si>
  <si>
    <t xml:space="preserve">REG-0050</t>
  </si>
  <si>
    <t xml:space="preserve">REG-0051</t>
  </si>
  <si>
    <t xml:space="preserve">REG-0052</t>
  </si>
  <si>
    <t xml:space="preserve">REG-0053</t>
  </si>
  <si>
    <t xml:space="preserve">REG-0054</t>
  </si>
  <si>
    <t xml:space="preserve">REG-0055</t>
  </si>
  <si>
    <t xml:space="preserve">REG-0056</t>
  </si>
  <si>
    <t xml:space="preserve">REG-0057</t>
  </si>
  <si>
    <t xml:space="preserve">REG-0058</t>
  </si>
  <si>
    <t xml:space="preserve">REG-0059</t>
  </si>
  <si>
    <t xml:space="preserve">REG-0060</t>
  </si>
  <si>
    <t xml:space="preserve">REG-0061</t>
  </si>
  <si>
    <t xml:space="preserve">REG-0062</t>
  </si>
  <si>
    <t xml:space="preserve">REG-0063</t>
  </si>
  <si>
    <t xml:space="preserve">REG-0064</t>
  </si>
  <si>
    <t xml:space="preserve">REG-0065</t>
  </si>
  <si>
    <t xml:space="preserve">REG-0066</t>
  </si>
  <si>
    <t xml:space="preserve">REG-0067</t>
  </si>
  <si>
    <t xml:space="preserve">REG-0068</t>
  </si>
  <si>
    <t xml:space="preserve">REG-0069</t>
  </si>
  <si>
    <t xml:space="preserve">REG-0070</t>
  </si>
  <si>
    <t xml:space="preserve">REG-0071</t>
  </si>
  <si>
    <t xml:space="preserve">REG-0072</t>
  </si>
  <si>
    <t xml:space="preserve">REG-0073</t>
  </si>
  <si>
    <t xml:space="preserve">REG-0074</t>
  </si>
  <si>
    <t xml:space="preserve">REG-0075</t>
  </si>
  <si>
    <t xml:space="preserve">REG-0076</t>
  </si>
  <si>
    <t xml:space="preserve">REG-0077</t>
  </si>
  <si>
    <t xml:space="preserve">REG-0078</t>
  </si>
  <si>
    <t xml:space="preserve">REG-0079</t>
  </si>
  <si>
    <t xml:space="preserve">REG-0080</t>
  </si>
  <si>
    <t xml:space="preserve">REG-0081</t>
  </si>
  <si>
    <t xml:space="preserve">REG-0082</t>
  </si>
  <si>
    <t xml:space="preserve">REG-0083</t>
  </si>
  <si>
    <t xml:space="preserve">REG-0084</t>
  </si>
  <si>
    <t xml:space="preserve">REG-0085</t>
  </si>
  <si>
    <t xml:space="preserve">REG-0086</t>
  </si>
  <si>
    <t xml:space="preserve">REG-0087</t>
  </si>
  <si>
    <t xml:space="preserve">REG-0088</t>
  </si>
  <si>
    <t xml:space="preserve">REG-0089</t>
  </si>
  <si>
    <t xml:space="preserve">REG-0090</t>
  </si>
  <si>
    <t xml:space="preserve">REG-0091</t>
  </si>
  <si>
    <t xml:space="preserve">REG-0092</t>
  </si>
  <si>
    <t xml:space="preserve">REG-0093</t>
  </si>
  <si>
    <t xml:space="preserve">REG-0094</t>
  </si>
  <si>
    <t xml:space="preserve">REG-0095</t>
  </si>
  <si>
    <t xml:space="preserve">REG-0096</t>
  </si>
  <si>
    <t xml:space="preserve">REG-0097</t>
  </si>
  <si>
    <t xml:space="preserve">REG-0098</t>
  </si>
  <si>
    <t xml:space="preserve">REG-0099</t>
  </si>
  <si>
    <t xml:space="preserve">REG-0100</t>
  </si>
  <si>
    <t xml:space="preserve">REG-0101</t>
  </si>
  <si>
    <t xml:space="preserve">REG-0102</t>
  </si>
  <si>
    <t xml:space="preserve">REG-0103</t>
  </si>
  <si>
    <t xml:space="preserve">REG-0104</t>
  </si>
  <si>
    <t xml:space="preserve">REG-0105</t>
  </si>
  <si>
    <t xml:space="preserve">REG-0106</t>
  </si>
  <si>
    <t xml:space="preserve">REG-0107</t>
  </si>
  <si>
    <t xml:space="preserve">REG-0108</t>
  </si>
  <si>
    <t xml:space="preserve">REG-0109</t>
  </si>
  <si>
    <t xml:space="preserve">REG-0110</t>
  </si>
  <si>
    <t xml:space="preserve">REG-0111</t>
  </si>
  <si>
    <t xml:space="preserve">REG-0112</t>
  </si>
  <si>
    <t xml:space="preserve">REG-0113</t>
  </si>
  <si>
    <t xml:space="preserve">REG-0114</t>
  </si>
  <si>
    <t xml:space="preserve">REG-0115</t>
  </si>
  <si>
    <t xml:space="preserve">REG-0116</t>
  </si>
  <si>
    <t xml:space="preserve">REG-0117</t>
  </si>
  <si>
    <t xml:space="preserve">REG-0118</t>
  </si>
  <si>
    <t xml:space="preserve">REG-0119</t>
  </si>
  <si>
    <t xml:space="preserve">REG-0120</t>
  </si>
  <si>
    <t xml:space="preserve">REG-0121</t>
  </si>
  <si>
    <t xml:space="preserve">REG-0122</t>
  </si>
  <si>
    <t xml:space="preserve">REG-0123</t>
  </si>
  <si>
    <t xml:space="preserve">REG-0124</t>
  </si>
  <si>
    <t xml:space="preserve">REG-0125</t>
  </si>
  <si>
    <t xml:space="preserve">REG-0126</t>
  </si>
  <si>
    <t xml:space="preserve">REG-0127</t>
  </si>
  <si>
    <t xml:space="preserve">REG-0128</t>
  </si>
  <si>
    <t xml:space="preserve">REG-0129</t>
  </si>
  <si>
    <t xml:space="preserve">REG-0130</t>
  </si>
  <si>
    <t xml:space="preserve">REG-0131</t>
  </si>
  <si>
    <t xml:space="preserve">REG-0132</t>
  </si>
  <si>
    <t xml:space="preserve">REG-0133</t>
  </si>
  <si>
    <t xml:space="preserve">REG-0134</t>
  </si>
  <si>
    <t xml:space="preserve">REG-0135</t>
  </si>
  <si>
    <t xml:space="preserve">REG-0136</t>
  </si>
  <si>
    <t xml:space="preserve">REG-0137</t>
  </si>
  <si>
    <t xml:space="preserve">REG-0138</t>
  </si>
  <si>
    <t xml:space="preserve">REG-0139</t>
  </si>
  <si>
    <t xml:space="preserve">REG-0140</t>
  </si>
  <si>
    <t xml:space="preserve">REG-0141</t>
  </si>
  <si>
    <t xml:space="preserve">REG-0142</t>
  </si>
  <si>
    <t xml:space="preserve">REG-0143</t>
  </si>
  <si>
    <t xml:space="preserve">REG-0144</t>
  </si>
  <si>
    <t xml:space="preserve">REG-0145</t>
  </si>
  <si>
    <t xml:space="preserve">REG-0146</t>
  </si>
  <si>
    <t xml:space="preserve">REG-0147</t>
  </si>
  <si>
    <t xml:space="preserve">REG-0148</t>
  </si>
  <si>
    <t xml:space="preserve">REG-0149</t>
  </si>
  <si>
    <t xml:space="preserve">REG-0150</t>
  </si>
  <si>
    <t xml:space="preserve">REG-0151</t>
  </si>
  <si>
    <t xml:space="preserve">REG-0152</t>
  </si>
  <si>
    <t xml:space="preserve">REG-0153</t>
  </si>
  <si>
    <t xml:space="preserve">REG-0154</t>
  </si>
  <si>
    <t xml:space="preserve">REG-0155</t>
  </si>
  <si>
    <t xml:space="preserve">REG-0156</t>
  </si>
  <si>
    <t xml:space="preserve">REG-0157</t>
  </si>
  <si>
    <t xml:space="preserve">REG-0158</t>
  </si>
  <si>
    <t xml:space="preserve">REG-0159</t>
  </si>
  <si>
    <t xml:space="preserve">REG-0160</t>
  </si>
  <si>
    <t xml:space="preserve">REG-0161</t>
  </si>
  <si>
    <t xml:space="preserve">REG-0162</t>
  </si>
  <si>
    <t xml:space="preserve">REG-0163</t>
  </si>
  <si>
    <t xml:space="preserve">REG-0164</t>
  </si>
  <si>
    <t xml:space="preserve">REG-0165</t>
  </si>
  <si>
    <t xml:space="preserve">REG-0166</t>
  </si>
  <si>
    <t xml:space="preserve">REG-0167</t>
  </si>
  <si>
    <t xml:space="preserve">REG-0168</t>
  </si>
  <si>
    <t xml:space="preserve">REG-0169</t>
  </si>
  <si>
    <t xml:space="preserve">REG-0170</t>
  </si>
  <si>
    <t xml:space="preserve">REG-0171</t>
  </si>
  <si>
    <t xml:space="preserve">REG-0172</t>
  </si>
  <si>
    <t xml:space="preserve">REG-0173</t>
  </si>
  <si>
    <t xml:space="preserve">REG-0174</t>
  </si>
  <si>
    <t xml:space="preserve">REG-0175</t>
  </si>
  <si>
    <t xml:space="preserve">REG-0176</t>
  </si>
  <si>
    <t xml:space="preserve">REG-0177</t>
  </si>
  <si>
    <t xml:space="preserve">REG-0178</t>
  </si>
  <si>
    <t xml:space="preserve">REG-0179</t>
  </si>
  <si>
    <t xml:space="preserve">REG-0180</t>
  </si>
  <si>
    <t xml:space="preserve">REG-0181</t>
  </si>
  <si>
    <t xml:space="preserve">REG-0182</t>
  </si>
  <si>
    <t xml:space="preserve">REG-0183</t>
  </si>
  <si>
    <t xml:space="preserve">REG-0184</t>
  </si>
  <si>
    <t xml:space="preserve">REG-0185</t>
  </si>
  <si>
    <t xml:space="preserve">REG-0186</t>
  </si>
  <si>
    <t xml:space="preserve">REG-0187</t>
  </si>
  <si>
    <t xml:space="preserve">REG-0188</t>
  </si>
  <si>
    <t xml:space="preserve">REG-0189</t>
  </si>
  <si>
    <t xml:space="preserve">REG-0190</t>
  </si>
  <si>
    <t xml:space="preserve">REG-0191</t>
  </si>
  <si>
    <t xml:space="preserve">REG-0192</t>
  </si>
  <si>
    <t xml:space="preserve">REG-0193</t>
  </si>
  <si>
    <t xml:space="preserve">REG-0194</t>
  </si>
  <si>
    <t xml:space="preserve">REG-0195</t>
  </si>
  <si>
    <t xml:space="preserve">REG-0196</t>
  </si>
  <si>
    <t xml:space="preserve">REG-0197</t>
  </si>
  <si>
    <t xml:space="preserve">REG-0198</t>
  </si>
  <si>
    <t xml:space="preserve">REG-0199</t>
  </si>
  <si>
    <t xml:space="preserve">REG-0200</t>
  </si>
  <si>
    <t xml:space="preserve">REG-0201</t>
  </si>
  <si>
    <t xml:space="preserve">REG-0202</t>
  </si>
  <si>
    <t xml:space="preserve">REG-0203</t>
  </si>
  <si>
    <t xml:space="preserve">REG-0204</t>
  </si>
  <si>
    <t xml:space="preserve">REG-0205</t>
  </si>
  <si>
    <t xml:space="preserve">REG-0206</t>
  </si>
  <si>
    <t xml:space="preserve">REG-0207</t>
  </si>
  <si>
    <t xml:space="preserve">REG-0208</t>
  </si>
  <si>
    <t xml:space="preserve">REG-0209</t>
  </si>
  <si>
    <t xml:space="preserve">REG-0210</t>
  </si>
  <si>
    <t xml:space="preserve">REG-0211</t>
  </si>
  <si>
    <t xml:space="preserve">REG-0212</t>
  </si>
  <si>
    <t xml:space="preserve">REG-0213</t>
  </si>
  <si>
    <t xml:space="preserve">REG-0214</t>
  </si>
  <si>
    <t xml:space="preserve">REG-0215</t>
  </si>
  <si>
    <t xml:space="preserve">REG-0216</t>
  </si>
  <si>
    <t xml:space="preserve">REG-0217</t>
  </si>
  <si>
    <t xml:space="preserve">REG-0218</t>
  </si>
  <si>
    <t xml:space="preserve">REG-0219</t>
  </si>
  <si>
    <t xml:space="preserve">REG-0220</t>
  </si>
  <si>
    <t xml:space="preserve">REG-0221</t>
  </si>
  <si>
    <t xml:space="preserve">REG-0222</t>
  </si>
  <si>
    <t xml:space="preserve">REG-0223</t>
  </si>
  <si>
    <t xml:space="preserve">REG-0224</t>
  </si>
  <si>
    <t xml:space="preserve">REG-0225</t>
  </si>
  <si>
    <t xml:space="preserve">REG-0226</t>
  </si>
  <si>
    <t xml:space="preserve">REG-0227</t>
  </si>
  <si>
    <t xml:space="preserve">REG-0228</t>
  </si>
  <si>
    <t xml:space="preserve">REG-0229</t>
  </si>
  <si>
    <t xml:space="preserve">REG-0230</t>
  </si>
  <si>
    <t xml:space="preserve">REG-0231</t>
  </si>
  <si>
    <t xml:space="preserve">REG-0232</t>
  </si>
  <si>
    <t xml:space="preserve">REG-0233</t>
  </si>
  <si>
    <t xml:space="preserve">REG-0234</t>
  </si>
  <si>
    <t xml:space="preserve">REG-0235</t>
  </si>
  <si>
    <t xml:space="preserve">REG-0236</t>
  </si>
  <si>
    <t xml:space="preserve">REG-0237</t>
  </si>
  <si>
    <t xml:space="preserve">REG-0238</t>
  </si>
  <si>
    <t xml:space="preserve">REG-0239</t>
  </si>
  <si>
    <t xml:space="preserve">REG-0240</t>
  </si>
  <si>
    <t xml:space="preserve">REG-0241</t>
  </si>
  <si>
    <t xml:space="preserve">REG-0242</t>
  </si>
  <si>
    <t xml:space="preserve">REG-0243</t>
  </si>
  <si>
    <t xml:space="preserve">REG-0244</t>
  </si>
  <si>
    <t xml:space="preserve">REG-0245</t>
  </si>
  <si>
    <t xml:space="preserve">REG-0246</t>
  </si>
  <si>
    <t xml:space="preserve">REG-0247</t>
  </si>
  <si>
    <t xml:space="preserve">REG-0248</t>
  </si>
  <si>
    <t xml:space="preserve">REG-0249</t>
  </si>
  <si>
    <t xml:space="preserve">REG-0250</t>
  </si>
  <si>
    <t xml:space="preserve">REG-0251</t>
  </si>
  <si>
    <t xml:space="preserve">REG-0252</t>
  </si>
  <si>
    <t xml:space="preserve">REG-0253</t>
  </si>
  <si>
    <t xml:space="preserve">REG-0254</t>
  </si>
  <si>
    <t xml:space="preserve">REG-0255</t>
  </si>
  <si>
    <t xml:space="preserve">REG-0256</t>
  </si>
  <si>
    <t xml:space="preserve">REG-0257</t>
  </si>
  <si>
    <t xml:space="preserve">REG-0258</t>
  </si>
  <si>
    <t xml:space="preserve">REG-0259</t>
  </si>
  <si>
    <t xml:space="preserve">REG-0260</t>
  </si>
  <si>
    <t xml:space="preserve">REG-0261</t>
  </si>
  <si>
    <t xml:space="preserve">REG-0262</t>
  </si>
  <si>
    <t xml:space="preserve">REG-0263</t>
  </si>
  <si>
    <t xml:space="preserve">REG-0264</t>
  </si>
  <si>
    <t xml:space="preserve">REG-0265</t>
  </si>
  <si>
    <t xml:space="preserve">REG-0266</t>
  </si>
  <si>
    <t xml:space="preserve">REG-0267</t>
  </si>
  <si>
    <t xml:space="preserve">REG-0268</t>
  </si>
  <si>
    <t xml:space="preserve">REG-0269</t>
  </si>
  <si>
    <t xml:space="preserve">REG-0270</t>
  </si>
  <si>
    <t xml:space="preserve">REG-0271</t>
  </si>
  <si>
    <t xml:space="preserve">REG-0272</t>
  </si>
  <si>
    <t xml:space="preserve">REG-0273</t>
  </si>
  <si>
    <t xml:space="preserve">REG-0274</t>
  </si>
  <si>
    <t xml:space="preserve">REG-0275</t>
  </si>
  <si>
    <t xml:space="preserve">REG-0276</t>
  </si>
  <si>
    <t xml:space="preserve">REG-0277</t>
  </si>
  <si>
    <t xml:space="preserve">REG-0278</t>
  </si>
  <si>
    <t xml:space="preserve">REG-0279</t>
  </si>
  <si>
    <t xml:space="preserve">REG-0280</t>
  </si>
  <si>
    <t xml:space="preserve">REG-0281</t>
  </si>
  <si>
    <t xml:space="preserve">REG-0282</t>
  </si>
  <si>
    <t xml:space="preserve">REG-0283</t>
  </si>
  <si>
    <t xml:space="preserve">REG-0284</t>
  </si>
  <si>
    <t xml:space="preserve">REG-0285</t>
  </si>
  <si>
    <t xml:space="preserve">REG-0286</t>
  </si>
  <si>
    <t xml:space="preserve">REG-0287</t>
  </si>
  <si>
    <t xml:space="preserve">REG-0288</t>
  </si>
  <si>
    <t xml:space="preserve">REG-0289</t>
  </si>
  <si>
    <t xml:space="preserve">REG-0290</t>
  </si>
  <si>
    <t xml:space="preserve">REG-0291</t>
  </si>
  <si>
    <t xml:space="preserve">REG-0292</t>
  </si>
  <si>
    <t xml:space="preserve">REG-0293</t>
  </si>
  <si>
    <t xml:space="preserve">REG-0294</t>
  </si>
  <si>
    <t xml:space="preserve">REG-0295</t>
  </si>
  <si>
    <t xml:space="preserve">REG-0296</t>
  </si>
  <si>
    <t xml:space="preserve">REG-0297</t>
  </si>
  <si>
    <t xml:space="preserve">REG-0298</t>
  </si>
  <si>
    <t xml:space="preserve">REG-0299</t>
  </si>
  <si>
    <t xml:space="preserve">REG-0300</t>
  </si>
  <si>
    <t xml:space="preserve">REG-0301</t>
  </si>
  <si>
    <t xml:space="preserve">REG-0302</t>
  </si>
  <si>
    <t xml:space="preserve">REG-0303</t>
  </si>
  <si>
    <t xml:space="preserve">REG-0304</t>
  </si>
  <si>
    <t xml:space="preserve">REG-0305</t>
  </si>
  <si>
    <t xml:space="preserve">REG-0306</t>
  </si>
  <si>
    <t xml:space="preserve">REG-0307</t>
  </si>
  <si>
    <t xml:space="preserve">REG-0308</t>
  </si>
  <si>
    <t xml:space="preserve">ID_Envio</t>
  </si>
  <si>
    <t xml:space="preserve">Tipo_Origem</t>
  </si>
  <si>
    <t xml:space="preserve">ID_Empresa_ou_Colaborador</t>
  </si>
  <si>
    <t xml:space="preserve">Status_Exigencia</t>
  </si>
  <si>
    <t xml:space="preserve">ENV-0001</t>
  </si>
  <si>
    <t xml:space="preserve">Empresa</t>
  </si>
  <si>
    <t xml:space="preserve">enviado</t>
  </si>
  <si>
    <t xml:space="preserve">ENV-0002</t>
  </si>
  <si>
    <t xml:space="preserve">nao_aplicavel</t>
  </si>
  <si>
    <t xml:space="preserve">ENV-0003</t>
  </si>
  <si>
    <t xml:space="preserve">ENV-0004</t>
  </si>
  <si>
    <t xml:space="preserve">ENV-0005</t>
  </si>
  <si>
    <t xml:space="preserve">ENV-0006</t>
  </si>
  <si>
    <t xml:space="preserve">ENV-0007</t>
  </si>
  <si>
    <t xml:space="preserve">Colaborador</t>
  </si>
  <si>
    <t xml:space="preserve">ENV-0008</t>
  </si>
  <si>
    <t xml:space="preserve">ENV-0009</t>
  </si>
  <si>
    <t xml:space="preserve">ENV-0010</t>
  </si>
  <si>
    <t xml:space="preserve">ENV-0011</t>
  </si>
  <si>
    <t xml:space="preserve">ENV-0012</t>
  </si>
  <si>
    <t xml:space="preserve">ENV-0013</t>
  </si>
  <si>
    <t xml:space="preserve">ENV-0014</t>
  </si>
  <si>
    <t xml:space="preserve">pendente</t>
  </si>
  <si>
    <t xml:space="preserve">Valor original na planilha antiga: 'CNH' (nao era um simples OK) — confirmar interpretacao.</t>
  </si>
  <si>
    <t xml:space="preserve">ENV-0015</t>
  </si>
  <si>
    <t xml:space="preserve">ENV-0016</t>
  </si>
  <si>
    <t xml:space="preserve">ENV-0017</t>
  </si>
  <si>
    <t xml:space="preserve">ENV-0018</t>
  </si>
  <si>
    <t xml:space="preserve">ENV-0019</t>
  </si>
  <si>
    <t xml:space="preserve">ENV-0020</t>
  </si>
  <si>
    <t xml:space="preserve">ENV-0021</t>
  </si>
  <si>
    <t xml:space="preserve">ENV-0022</t>
  </si>
  <si>
    <t xml:space="preserve">ENV-0023</t>
  </si>
  <si>
    <t xml:space="preserve">ENV-0024</t>
  </si>
  <si>
    <t xml:space="preserve">ENV-0025</t>
  </si>
  <si>
    <t xml:space="preserve">ENV-0026</t>
  </si>
  <si>
    <t xml:space="preserve">ENV-0027</t>
  </si>
  <si>
    <t xml:space="preserve">ENV-0028</t>
  </si>
  <si>
    <t xml:space="preserve">ENV-0029</t>
  </si>
  <si>
    <t xml:space="preserve">ENV-0030</t>
  </si>
  <si>
    <t xml:space="preserve">ENV-0031</t>
  </si>
  <si>
    <t xml:space="preserve">ENV-0032</t>
  </si>
  <si>
    <t xml:space="preserve">ENV-0033</t>
  </si>
  <si>
    <t xml:space="preserve">ENV-0034</t>
  </si>
  <si>
    <t xml:space="preserve">ENV-0035</t>
  </si>
  <si>
    <t xml:space="preserve">ENV-0036</t>
  </si>
  <si>
    <t xml:space="preserve">ENV-0037</t>
  </si>
  <si>
    <t xml:space="preserve">ENV-0038</t>
  </si>
  <si>
    <t xml:space="preserve">ENV-0039</t>
  </si>
  <si>
    <t xml:space="preserve">ENV-0040</t>
  </si>
  <si>
    <t xml:space="preserve">Valor original na planilha antiga: 'E-social' (nao era um simples OK) — confirmar interpretacao.</t>
  </si>
  <si>
    <t xml:space="preserve">ENV-0041</t>
  </si>
  <si>
    <t xml:space="preserve">ENV-0042</t>
  </si>
  <si>
    <t xml:space="preserve">ENV-0043</t>
  </si>
  <si>
    <t xml:space="preserve">ENV-0044</t>
  </si>
  <si>
    <t xml:space="preserve">ENV-0045</t>
  </si>
  <si>
    <t xml:space="preserve">ENV-0046</t>
  </si>
  <si>
    <t xml:space="preserve">ENV-0047</t>
  </si>
  <si>
    <t xml:space="preserve">ENV-0048</t>
  </si>
  <si>
    <t xml:space="preserve">ENV-0049</t>
  </si>
  <si>
    <t xml:space="preserve">ENV-0050</t>
  </si>
  <si>
    <t xml:space="preserve">ENV-0051</t>
  </si>
  <si>
    <t xml:space="preserve">ENV-0052</t>
  </si>
  <si>
    <t xml:space="preserve">ENV-0053</t>
  </si>
  <si>
    <t xml:space="preserve">ENV-0054</t>
  </si>
  <si>
    <t xml:space="preserve">ENV-0055</t>
  </si>
  <si>
    <t xml:space="preserve">ENV-0056</t>
  </si>
  <si>
    <t xml:space="preserve">ENV-0057</t>
  </si>
  <si>
    <t xml:space="preserve">ENV-0058</t>
  </si>
  <si>
    <t xml:space="preserve">ENV-0059</t>
  </si>
  <si>
    <t xml:space="preserve">ENV-0060</t>
  </si>
  <si>
    <t xml:space="preserve">ENV-0061</t>
  </si>
  <si>
    <t xml:space="preserve">ENV-0062</t>
  </si>
  <si>
    <t xml:space="preserve">ENV-0063</t>
  </si>
  <si>
    <t xml:space="preserve">ENV-0064</t>
  </si>
  <si>
    <t xml:space="preserve">ENV-0065</t>
  </si>
  <si>
    <t xml:space="preserve">ENV-0066</t>
  </si>
  <si>
    <t xml:space="preserve">ENV-0067</t>
  </si>
  <si>
    <t xml:space="preserve">ENV-0068</t>
  </si>
  <si>
    <t xml:space="preserve">ENV-0069</t>
  </si>
  <si>
    <t xml:space="preserve">ENV-0070</t>
  </si>
  <si>
    <t xml:space="preserve">ENV-0071</t>
  </si>
  <si>
    <t xml:space="preserve">ENV-0072</t>
  </si>
  <si>
    <t xml:space="preserve">ENV-0073</t>
  </si>
  <si>
    <t xml:space="preserve">ENV-0074</t>
  </si>
  <si>
    <t xml:space="preserve">ENV-0075</t>
  </si>
  <si>
    <t xml:space="preserve">ENV-0076</t>
  </si>
  <si>
    <t xml:space="preserve">ENV-0077</t>
  </si>
  <si>
    <t xml:space="preserve">ENV-0078</t>
  </si>
  <si>
    <t xml:space="preserve">ENV-0079</t>
  </si>
  <si>
    <t xml:space="preserve">ENV-0080</t>
  </si>
  <si>
    <t xml:space="preserve">ENV-0081</t>
  </si>
  <si>
    <t xml:space="preserve">ENV-0082</t>
  </si>
  <si>
    <t xml:space="preserve">ENV-0083</t>
  </si>
  <si>
    <t xml:space="preserve">ENV-0084</t>
  </si>
  <si>
    <t xml:space="preserve">ENV-0085</t>
  </si>
  <si>
    <t xml:space="preserve">ENV-0086</t>
  </si>
  <si>
    <t xml:space="preserve">ENV-0087</t>
  </si>
  <si>
    <t xml:space="preserve">Valor original na planilha antiga: 'Contrato com a DHS' (nao era um simples OK) — confirmar interpretacao.</t>
  </si>
  <si>
    <t xml:space="preserve">ENV-0088</t>
  </si>
  <si>
    <t xml:space="preserve">ENV-0089</t>
  </si>
  <si>
    <t xml:space="preserve">ENV-0090</t>
  </si>
  <si>
    <t xml:space="preserve">ENV-0091</t>
  </si>
  <si>
    <t xml:space="preserve">ENV-0092</t>
  </si>
  <si>
    <t xml:space="preserve">ENV-0093</t>
  </si>
  <si>
    <t xml:space="preserve">ENV-0094</t>
  </si>
  <si>
    <t xml:space="preserve">ENV-0095</t>
  </si>
  <si>
    <t xml:space="preserve">ENV-0096</t>
  </si>
  <si>
    <t xml:space="preserve">ENV-0097</t>
  </si>
  <si>
    <t xml:space="preserve">ENV-0098</t>
  </si>
  <si>
    <t xml:space="preserve">ENV-0099</t>
  </si>
  <si>
    <t xml:space="preserve">ENV-0100</t>
  </si>
  <si>
    <t xml:space="preserve">ENV-0101</t>
  </si>
  <si>
    <t xml:space="preserve">ENV-0102</t>
  </si>
  <si>
    <t xml:space="preserve">ENV-0103</t>
  </si>
  <si>
    <t xml:space="preserve">ENV-0104</t>
  </si>
  <si>
    <t xml:space="preserve">ENV-0105</t>
  </si>
  <si>
    <t xml:space="preserve">ENV-0106</t>
  </si>
  <si>
    <t xml:space="preserve">ENV-0107</t>
  </si>
  <si>
    <t xml:space="preserve">ENV-0108</t>
  </si>
  <si>
    <t xml:space="preserve">ENV-0109</t>
  </si>
  <si>
    <t xml:space="preserve">ENV-0110</t>
  </si>
  <si>
    <t xml:space="preserve">ENV-0111</t>
  </si>
  <si>
    <t xml:space="preserve">ENV-0112</t>
  </si>
  <si>
    <t xml:space="preserve">ENV-0113</t>
  </si>
  <si>
    <t xml:space="preserve">ENV-0114</t>
  </si>
  <si>
    <t xml:space="preserve">ENV-0115</t>
  </si>
  <si>
    <t xml:space="preserve">ENV-0116</t>
  </si>
  <si>
    <t xml:space="preserve">ENV-0117</t>
  </si>
  <si>
    <t xml:space="preserve">ENV-0118</t>
  </si>
  <si>
    <t xml:space="preserve">ENV-0119</t>
  </si>
  <si>
    <t xml:space="preserve">ENV-0120</t>
  </si>
  <si>
    <t xml:space="preserve">ENV-0121</t>
  </si>
  <si>
    <t xml:space="preserve">ENV-0122</t>
  </si>
  <si>
    <t xml:space="preserve">ENV-0123</t>
  </si>
  <si>
    <t xml:space="preserve">ENV-0124</t>
  </si>
  <si>
    <t xml:space="preserve">ENV-0125</t>
  </si>
  <si>
    <t xml:space="preserve">ENV-0126</t>
  </si>
  <si>
    <t xml:space="preserve">ENV-0127</t>
  </si>
  <si>
    <t xml:space="preserve">ENV-0128</t>
  </si>
  <si>
    <t xml:space="preserve">ENV-0129</t>
  </si>
  <si>
    <t xml:space="preserve">ENV-0130</t>
  </si>
  <si>
    <t xml:space="preserve">ENV-0131</t>
  </si>
  <si>
    <t xml:space="preserve">ENV-0132</t>
  </si>
  <si>
    <t xml:space="preserve">ENV-0133</t>
  </si>
  <si>
    <t xml:space="preserve">ENV-0134</t>
  </si>
  <si>
    <t xml:space="preserve">ENV-0135</t>
  </si>
  <si>
    <t xml:space="preserve">ENV-0136</t>
  </si>
  <si>
    <t xml:space="preserve">ENV-0137</t>
  </si>
  <si>
    <t xml:space="preserve">ENV-0138</t>
  </si>
  <si>
    <t xml:space="preserve">ENV-0139</t>
  </si>
  <si>
    <t xml:space="preserve">ENV-0140</t>
  </si>
  <si>
    <t xml:space="preserve">ENV-0141</t>
  </si>
  <si>
    <t xml:space="preserve">ENV-0142</t>
  </si>
  <si>
    <t xml:space="preserve">ENV-0143</t>
  </si>
  <si>
    <t xml:space="preserve">ENV-0144</t>
  </si>
  <si>
    <t xml:space="preserve">ENV-0145</t>
  </si>
  <si>
    <t xml:space="preserve">ENV-0146</t>
  </si>
  <si>
    <t xml:space="preserve">ENV-0147</t>
  </si>
  <si>
    <t xml:space="preserve">ENV-0148</t>
  </si>
  <si>
    <t xml:space="preserve">ENV-0149</t>
  </si>
  <si>
    <t xml:space="preserve">ENV-0150</t>
  </si>
  <si>
    <t xml:space="preserve">ENV-0151</t>
  </si>
  <si>
    <t xml:space="preserve">ENV-0152</t>
  </si>
  <si>
    <t xml:space="preserve">ENV-0153</t>
  </si>
  <si>
    <t xml:space="preserve">ENV-0154</t>
  </si>
  <si>
    <t xml:space="preserve">ENV-0155</t>
  </si>
  <si>
    <t xml:space="preserve">ENV-0156</t>
  </si>
  <si>
    <t xml:space="preserve">ENV-0157</t>
  </si>
  <si>
    <t xml:space="preserve">ENV-0158</t>
  </si>
  <si>
    <t xml:space="preserve">ENV-0159</t>
  </si>
  <si>
    <t xml:space="preserve">ENV-0160</t>
  </si>
  <si>
    <t xml:space="preserve">ENV-0161</t>
  </si>
  <si>
    <t xml:space="preserve">ENV-0162</t>
  </si>
  <si>
    <t xml:space="preserve">ENV-0163</t>
  </si>
  <si>
    <t xml:space="preserve">ENV-0164</t>
  </si>
  <si>
    <t xml:space="preserve">ENV-0165</t>
  </si>
  <si>
    <t xml:space="preserve">ENV-0166</t>
  </si>
  <si>
    <t xml:space="preserve">ENV-0167</t>
  </si>
  <si>
    <t xml:space="preserve">ENV-0168</t>
  </si>
  <si>
    <t xml:space="preserve">ENV-0169</t>
  </si>
  <si>
    <t xml:space="preserve">ENV-0170</t>
  </si>
  <si>
    <t xml:space="preserve">ENV-0171</t>
  </si>
  <si>
    <t xml:space="preserve">ENV-0172</t>
  </si>
  <si>
    <t xml:space="preserve">ENV-0173</t>
  </si>
  <si>
    <t xml:space="preserve">ENV-0174</t>
  </si>
  <si>
    <t xml:space="preserve">ENV-0175</t>
  </si>
  <si>
    <t xml:space="preserve">ENV-0176</t>
  </si>
  <si>
    <t xml:space="preserve">ENV-0177</t>
  </si>
  <si>
    <t xml:space="preserve">ENV-0178</t>
  </si>
  <si>
    <t xml:space="preserve">ENV-0179</t>
  </si>
  <si>
    <t xml:space="preserve">ENV-0180</t>
  </si>
  <si>
    <t xml:space="preserve">ENV-0181</t>
  </si>
  <si>
    <t xml:space="preserve">ENV-0182</t>
  </si>
  <si>
    <t xml:space="preserve">ENV-0183</t>
  </si>
  <si>
    <t xml:space="preserve">ENV-0184</t>
  </si>
  <si>
    <t xml:space="preserve">ENV-0185</t>
  </si>
  <si>
    <t xml:space="preserve">ENV-0186</t>
  </si>
  <si>
    <t xml:space="preserve">ENV-0187</t>
  </si>
  <si>
    <t xml:space="preserve">ENV-0188</t>
  </si>
  <si>
    <t xml:space="preserve">ENV-0189</t>
  </si>
  <si>
    <t xml:space="preserve">ENV-0190</t>
  </si>
  <si>
    <t xml:space="preserve">ENV-0191</t>
  </si>
  <si>
    <t xml:space="preserve">ENV-0192</t>
  </si>
  <si>
    <t xml:space="preserve">ENV-0193</t>
  </si>
  <si>
    <t xml:space="preserve">ENV-0194</t>
  </si>
  <si>
    <t xml:space="preserve">ENV-0195</t>
  </si>
  <si>
    <t xml:space="preserve">ENV-0196</t>
  </si>
  <si>
    <t xml:space="preserve">ENV-0197</t>
  </si>
  <si>
    <t xml:space="preserve">ENV-0198</t>
  </si>
  <si>
    <t xml:space="preserve">ENV-0199</t>
  </si>
  <si>
    <t xml:space="preserve">ENV-0200</t>
  </si>
  <si>
    <t xml:space="preserve">ENV-0201</t>
  </si>
  <si>
    <t xml:space="preserve">ENV-0202</t>
  </si>
  <si>
    <t xml:space="preserve">ENV-0203</t>
  </si>
  <si>
    <t xml:space="preserve">ENV-0204</t>
  </si>
  <si>
    <t xml:space="preserve">ENV-0205</t>
  </si>
  <si>
    <t xml:space="preserve">ENV-0206</t>
  </si>
  <si>
    <t xml:space="preserve">ENV-0207</t>
  </si>
  <si>
    <t xml:space="preserve">ENV-0208</t>
  </si>
  <si>
    <t xml:space="preserve">ENV-0209</t>
  </si>
  <si>
    <t xml:space="preserve">ENV-0210</t>
  </si>
  <si>
    <t xml:space="preserve">ENV-0211</t>
  </si>
  <si>
    <t xml:space="preserve">ENV-0212</t>
  </si>
  <si>
    <t xml:space="preserve">ENV-0213</t>
  </si>
  <si>
    <t xml:space="preserve">ENV-0214</t>
  </si>
  <si>
    <t xml:space="preserve">ENV-0215</t>
  </si>
  <si>
    <t xml:space="preserve">ENV-0216</t>
  </si>
  <si>
    <t xml:space="preserve">ENV-0217</t>
  </si>
  <si>
    <t xml:space="preserve">ENV-0218</t>
  </si>
  <si>
    <t xml:space="preserve">ENV-0219</t>
  </si>
  <si>
    <t xml:space="preserve">ENV-0220</t>
  </si>
  <si>
    <t xml:space="preserve">ENV-0221</t>
  </si>
  <si>
    <t xml:space="preserve">ENV-0222</t>
  </si>
  <si>
    <t xml:space="preserve">ENV-0223</t>
  </si>
  <si>
    <t xml:space="preserve">ENV-0224</t>
  </si>
  <si>
    <t xml:space="preserve">ENV-0225</t>
  </si>
  <si>
    <t xml:space="preserve">ENV-0226</t>
  </si>
  <si>
    <t xml:space="preserve">ENV-0227</t>
  </si>
  <si>
    <t xml:space="preserve">ENV-0228</t>
  </si>
  <si>
    <t xml:space="preserve">ENV-0229</t>
  </si>
  <si>
    <t xml:space="preserve">ENV-0230</t>
  </si>
  <si>
    <t xml:space="preserve">ENV-0231</t>
  </si>
  <si>
    <t xml:space="preserve">ENV-0232</t>
  </si>
  <si>
    <t xml:space="preserve">ENV-0233</t>
  </si>
  <si>
    <t xml:space="preserve">ENV-0234</t>
  </si>
  <si>
    <t xml:space="preserve">ENV-0235</t>
  </si>
  <si>
    <t xml:space="preserve">ENV-0236</t>
  </si>
  <si>
    <t xml:space="preserve">ENV-0237</t>
  </si>
  <si>
    <t xml:space="preserve">ENV-0238</t>
  </si>
  <si>
    <t xml:space="preserve">ENV-0239</t>
  </si>
  <si>
    <t xml:space="preserve">ENV-0240</t>
  </si>
  <si>
    <t xml:space="preserve">ENV-0241</t>
  </si>
  <si>
    <t xml:space="preserve">ENV-0242</t>
  </si>
  <si>
    <t xml:space="preserve">ENV-0243</t>
  </si>
  <si>
    <t xml:space="preserve">ENV-0244</t>
  </si>
  <si>
    <t xml:space="preserve">ENV-0245</t>
  </si>
  <si>
    <t xml:space="preserve">ENV-0246</t>
  </si>
  <si>
    <t xml:space="preserve">ENV-0247</t>
  </si>
  <si>
    <t xml:space="preserve">ENV-0248</t>
  </si>
  <si>
    <t xml:space="preserve">ENV-0249</t>
  </si>
  <si>
    <t xml:space="preserve">ENV-0250</t>
  </si>
  <si>
    <t xml:space="preserve">ENV-0251</t>
  </si>
  <si>
    <t xml:space="preserve">ENV-0252</t>
  </si>
  <si>
    <t xml:space="preserve">ENV-0253</t>
  </si>
  <si>
    <t xml:space="preserve">ENV-0254</t>
  </si>
  <si>
    <t xml:space="preserve">ENV-0255</t>
  </si>
  <si>
    <t xml:space="preserve">ENV-0256</t>
  </si>
  <si>
    <t xml:space="preserve">ENV-0257</t>
  </si>
  <si>
    <t xml:space="preserve">ENV-0258</t>
  </si>
  <si>
    <t xml:space="preserve">ENV-0259</t>
  </si>
  <si>
    <t xml:space="preserve">ENV-0260</t>
  </si>
  <si>
    <t xml:space="preserve">ENV-0261</t>
  </si>
  <si>
    <t xml:space="preserve">ENV-0262</t>
  </si>
  <si>
    <t xml:space="preserve">ENV-0263</t>
  </si>
  <si>
    <t xml:space="preserve">ENV-0264</t>
  </si>
  <si>
    <t xml:space="preserve">ENV-0265</t>
  </si>
  <si>
    <t xml:space="preserve">ENV-0266</t>
  </si>
  <si>
    <t xml:space="preserve">ENV-0267</t>
  </si>
  <si>
    <t xml:space="preserve">ENV-0268</t>
  </si>
  <si>
    <t xml:space="preserve">ENV-0269</t>
  </si>
  <si>
    <t xml:space="preserve">ENV-0270</t>
  </si>
  <si>
    <t xml:space="preserve">ENV-0271</t>
  </si>
  <si>
    <t xml:space="preserve">ENV-0272</t>
  </si>
  <si>
    <t xml:space="preserve">ENV-0273</t>
  </si>
  <si>
    <t xml:space="preserve">ENV-0274</t>
  </si>
  <si>
    <t xml:space="preserve">Competencia_AAAA_MM</t>
  </si>
  <si>
    <t xml:space="preserve">Data_Envio</t>
  </si>
  <si>
    <t xml:space="preserve">COMP-001</t>
  </si>
  <si>
    <t xml:space="preserve">2026-08</t>
  </si>
  <si>
    <t xml:space="preserve">(exemplo) — a aba Hospital SC de Controle de Documentos.xlsx so registra 'OK/Nao tem' por documento, sem informar a competencia mensal — quando o controle mensal comecar a ser feito de verdade, preencher aqui.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</si>
</sst>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dd/mm/yyyy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2"/>
    </font>
    <font>
      <sz val="10"/>
      <color rgb="FF0061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CE4D6"/>
        <bgColor rgb="FFE2EFDA"/>
      </patternFill>
    </fill>
    <fill>
      <patternFill patternType="solid">
        <fgColor rgb="FFDDEBF7"/>
        <bgColor rgb="FFE2EFDA"/>
      </patternFill>
    </fill>
    <fill>
      <patternFill patternType="solid">
        <fgColor rgb="FFE2EFDA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3" t="s">
        <v>2</v>
      </c>
    </row>
    <row r="5" customFormat="false" ht="23.85" hidden="false" customHeight="false" outlineLevel="0" collapsed="false">
      <c r="A5" s="3" t="s">
        <v>3</v>
      </c>
    </row>
    <row r="6" customFormat="false" ht="23.8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23.85" hidden="false" customHeight="false" outlineLevel="0" collapsed="false">
      <c r="A8" s="3" t="s">
        <v>6</v>
      </c>
    </row>
    <row r="9" customFormat="false" ht="35.05" hidden="false" customHeight="false" outlineLevel="0" collapsed="false">
      <c r="A9" s="3" t="s">
        <v>7</v>
      </c>
    </row>
    <row r="10" customFormat="false" ht="15" hidden="false" customHeight="false" outlineLevel="0" collapsed="false">
      <c r="A10" s="3"/>
    </row>
    <row r="11" customFormat="false" ht="15" hidden="false" customHeight="false" outlineLevel="0" collapsed="false">
      <c r="A11" s="4" t="s">
        <v>8</v>
      </c>
    </row>
    <row r="12" customFormat="false" ht="46.2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/>
    </row>
    <row r="14" customFormat="false" ht="15" hidden="false" customHeight="false" outlineLevel="0" collapsed="false">
      <c r="A14" s="4" t="s">
        <v>10</v>
      </c>
    </row>
    <row r="15" customFormat="false" ht="23.8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3" t="s">
        <v>12</v>
      </c>
    </row>
    <row r="17" customFormat="false" ht="23.8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3"/>
    </row>
    <row r="19" customFormat="false" ht="15" hidden="false" customHeight="false" outlineLevel="0" collapsed="false">
      <c r="A19" s="4" t="s">
        <v>14</v>
      </c>
    </row>
    <row r="20" customFormat="false" ht="15" hidden="false" customHeight="false" outlineLevel="0" collapsed="false">
      <c r="A20" s="3" t="s">
        <v>15</v>
      </c>
    </row>
    <row r="21" customFormat="false" ht="15" hidden="false" customHeight="false" outlineLevel="0" collapsed="false">
      <c r="A21" s="3" t="s">
        <v>16</v>
      </c>
    </row>
    <row r="22" customFormat="false" ht="35.05" hidden="false" customHeight="false" outlineLevel="0" collapsed="false">
      <c r="A22" s="3" t="s">
        <v>17</v>
      </c>
    </row>
    <row r="23" customFormat="false" ht="23.85" hidden="false" customHeight="false" outlineLevel="0" collapsed="false">
      <c r="A23" s="3" t="s">
        <v>18</v>
      </c>
    </row>
    <row r="24" customFormat="false" ht="15" hidden="false" customHeight="false" outlineLevel="0" collapsed="false">
      <c r="A24" s="3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4" min="4" style="0" width="45"/>
    <col collapsed="false" customWidth="true" hidden="false" outlineLevel="0" max="6" min="5" style="0" width="30"/>
    <col collapsed="false" customWidth="true" hidden="false" outlineLevel="0" max="7" min="7" style="0" width="8"/>
    <col collapsed="false" customWidth="true" hidden="false" outlineLevel="0" max="8" min="8" style="0" width="22"/>
    <col collapsed="false" customWidth="true" hidden="false" outlineLevel="0" max="9" min="9" style="0" width="20"/>
    <col collapsed="false" customWidth="true" hidden="false" outlineLevel="0" max="10" min="10" style="0" width="5"/>
    <col collapsed="false" customWidth="true" hidden="false" outlineLevel="0" max="12" min="11" style="0" width="12"/>
    <col collapsed="false" customWidth="true" hidden="false" outlineLevel="0" max="13" min="13" style="0" width="55"/>
  </cols>
  <sheetData>
    <row r="1" customFormat="false" ht="30" hidden="false" customHeight="true" outlineLevel="0" collapsed="false">
      <c r="A1" s="5" t="s">
        <v>20</v>
      </c>
      <c r="B1" s="5" t="s">
        <v>21</v>
      </c>
      <c r="C1" s="5" t="s">
        <v>22</v>
      </c>
      <c r="D1" s="5" t="s">
        <v>23</v>
      </c>
      <c r="E1" s="5" t="s">
        <v>24</v>
      </c>
      <c r="F1" s="5" t="s">
        <v>25</v>
      </c>
      <c r="G1" s="5" t="s">
        <v>26</v>
      </c>
      <c r="H1" s="5" t="s">
        <v>27</v>
      </c>
      <c r="I1" s="5" t="s">
        <v>28</v>
      </c>
      <c r="J1" s="5" t="s">
        <v>29</v>
      </c>
      <c r="K1" s="5" t="s">
        <v>30</v>
      </c>
      <c r="L1" s="5" t="s">
        <v>31</v>
      </c>
      <c r="M1" s="5" t="s">
        <v>32</v>
      </c>
    </row>
    <row r="2" customFormat="false" ht="15" hidden="false" customHeight="false" outlineLevel="0" collapsed="false">
      <c r="A2" s="6" t="s">
        <v>33</v>
      </c>
      <c r="B2" s="6" t="s">
        <v>34</v>
      </c>
      <c r="C2" s="6" t="str">
        <f aca="false">LEFT(B2,10)</f>
        <v>56.112.624</v>
      </c>
      <c r="D2" s="6" t="s">
        <v>35</v>
      </c>
      <c r="E2" s="6" t="s">
        <v>36</v>
      </c>
      <c r="F2" s="6" t="s">
        <v>37</v>
      </c>
      <c r="G2" s="6" t="n">
        <v>111</v>
      </c>
      <c r="H2" s="6" t="s">
        <v>38</v>
      </c>
      <c r="I2" s="6" t="s">
        <v>39</v>
      </c>
      <c r="J2" s="6" t="s">
        <v>40</v>
      </c>
      <c r="K2" s="6" t="s">
        <v>41</v>
      </c>
      <c r="L2" s="6" t="s">
        <v>42</v>
      </c>
      <c r="M2" s="6"/>
    </row>
    <row r="3" customFormat="false" ht="15" hidden="false" customHeight="false" outlineLevel="0" collapsed="false">
      <c r="A3" s="6" t="s">
        <v>43</v>
      </c>
      <c r="B3" s="6" t="s">
        <v>44</v>
      </c>
      <c r="C3" s="6" t="str">
        <f aca="false">LEFT(B3,10)</f>
        <v>60.536.286</v>
      </c>
      <c r="D3" s="6" t="s">
        <v>45</v>
      </c>
      <c r="E3" s="6" t="s">
        <v>46</v>
      </c>
      <c r="F3" s="6" t="s">
        <v>47</v>
      </c>
      <c r="G3" s="6" t="n">
        <v>44</v>
      </c>
      <c r="H3" s="6" t="s">
        <v>48</v>
      </c>
      <c r="I3" s="6" t="s">
        <v>49</v>
      </c>
      <c r="J3" s="6" t="s">
        <v>50</v>
      </c>
      <c r="K3" s="6" t="s">
        <v>51</v>
      </c>
      <c r="L3" s="6" t="s">
        <v>42</v>
      </c>
      <c r="M3" s="6"/>
    </row>
    <row r="4" customFormat="false" ht="15" hidden="false" customHeight="false" outlineLevel="0" collapsed="false">
      <c r="A4" s="6" t="s">
        <v>52</v>
      </c>
      <c r="B4" s="6" t="s">
        <v>53</v>
      </c>
      <c r="C4" s="6" t="str">
        <f aca="false">LEFT(B4,10)</f>
        <v>60.555.952</v>
      </c>
      <c r="D4" s="6" t="s">
        <v>54</v>
      </c>
      <c r="E4" s="6" t="s">
        <v>55</v>
      </c>
      <c r="F4" s="6" t="s">
        <v>56</v>
      </c>
      <c r="G4" s="6" t="n">
        <v>1256</v>
      </c>
      <c r="H4" s="6" t="s">
        <v>57</v>
      </c>
      <c r="I4" s="6" t="s">
        <v>58</v>
      </c>
      <c r="J4" s="6" t="s">
        <v>50</v>
      </c>
      <c r="K4" s="6" t="s">
        <v>59</v>
      </c>
      <c r="L4" s="6" t="s">
        <v>42</v>
      </c>
      <c r="M4" s="6"/>
    </row>
    <row r="5" customFormat="false" ht="15" hidden="false" customHeight="false" outlineLevel="0" collapsed="false">
      <c r="A5" s="6" t="s">
        <v>60</v>
      </c>
      <c r="B5" s="6" t="s">
        <v>61</v>
      </c>
      <c r="C5" s="6" t="str">
        <f aca="false">LEFT(B5,10)</f>
        <v>45.039.024</v>
      </c>
      <c r="D5" s="6" t="s">
        <v>62</v>
      </c>
      <c r="E5" s="6" t="s">
        <v>63</v>
      </c>
      <c r="F5" s="6" t="s">
        <v>64</v>
      </c>
      <c r="G5" s="6" t="n">
        <v>1570</v>
      </c>
      <c r="H5" s="6" t="s">
        <v>65</v>
      </c>
      <c r="I5" s="6" t="s">
        <v>66</v>
      </c>
      <c r="J5" s="6" t="s">
        <v>67</v>
      </c>
      <c r="K5" s="6" t="s">
        <v>68</v>
      </c>
      <c r="L5" s="6" t="s">
        <v>42</v>
      </c>
      <c r="M5" s="6"/>
    </row>
    <row r="6" customFormat="false" ht="15" hidden="false" customHeight="false" outlineLevel="0" collapsed="false">
      <c r="A6" s="6" t="s">
        <v>69</v>
      </c>
      <c r="B6" s="6" t="s">
        <v>70</v>
      </c>
      <c r="C6" s="6" t="str">
        <f aca="false">LEFT(B6,10)</f>
        <v>66.166.474</v>
      </c>
      <c r="D6" s="6" t="s">
        <v>71</v>
      </c>
      <c r="E6" s="6" t="s">
        <v>72</v>
      </c>
      <c r="F6" s="6" t="s">
        <v>73</v>
      </c>
      <c r="G6" s="6" t="n">
        <v>14</v>
      </c>
      <c r="H6" s="6" t="s">
        <v>74</v>
      </c>
      <c r="I6" s="6" t="s">
        <v>75</v>
      </c>
      <c r="J6" s="6" t="s">
        <v>40</v>
      </c>
      <c r="K6" s="6" t="s">
        <v>76</v>
      </c>
      <c r="L6" s="6" t="s">
        <v>42</v>
      </c>
      <c r="M6" s="6"/>
    </row>
    <row r="7" customFormat="false" ht="15" hidden="false" customHeight="false" outlineLevel="0" collapsed="false">
      <c r="A7" s="6" t="s">
        <v>77</v>
      </c>
      <c r="B7" s="6" t="s">
        <v>78</v>
      </c>
      <c r="C7" s="6" t="str">
        <f aca="false">LEFT(B7,10)</f>
        <v>59.733.299</v>
      </c>
      <c r="D7" s="6" t="s">
        <v>79</v>
      </c>
      <c r="E7" s="6" t="s">
        <v>80</v>
      </c>
      <c r="F7" s="6" t="s">
        <v>81</v>
      </c>
      <c r="G7" s="6" t="n">
        <v>116</v>
      </c>
      <c r="H7" s="6" t="s">
        <v>82</v>
      </c>
      <c r="I7" s="6" t="s">
        <v>83</v>
      </c>
      <c r="J7" s="6" t="s">
        <v>50</v>
      </c>
      <c r="K7" s="6" t="s">
        <v>84</v>
      </c>
      <c r="L7" s="6" t="s">
        <v>42</v>
      </c>
      <c r="M7" s="6"/>
    </row>
    <row r="8" customFormat="false" ht="15" hidden="false" customHeight="false" outlineLevel="0" collapsed="false">
      <c r="A8" s="6" t="s">
        <v>85</v>
      </c>
      <c r="B8" s="6" t="s">
        <v>86</v>
      </c>
      <c r="C8" s="6" t="str">
        <f aca="false">LEFT(B8,10)</f>
        <v>47.655.284</v>
      </c>
      <c r="D8" s="6" t="s">
        <v>87</v>
      </c>
      <c r="E8" s="6" t="s">
        <v>88</v>
      </c>
      <c r="F8" s="6" t="s">
        <v>89</v>
      </c>
      <c r="G8" s="6" t="n">
        <v>1525</v>
      </c>
      <c r="H8" s="6" t="s">
        <v>90</v>
      </c>
      <c r="I8" s="6" t="s">
        <v>39</v>
      </c>
      <c r="J8" s="6" t="s">
        <v>40</v>
      </c>
      <c r="K8" s="6" t="s">
        <v>91</v>
      </c>
      <c r="L8" s="6" t="s">
        <v>42</v>
      </c>
      <c r="M8" s="6"/>
    </row>
    <row r="9" customFormat="false" ht="15" hidden="false" customHeight="false" outlineLevel="0" collapsed="false">
      <c r="A9" s="7" t="s">
        <v>92</v>
      </c>
      <c r="B9" s="7" t="s">
        <v>93</v>
      </c>
      <c r="C9" s="7" t="str">
        <f aca="false">LEFT(B9,10)</f>
        <v>24.845.692</v>
      </c>
      <c r="D9" s="7" t="s">
        <v>94</v>
      </c>
      <c r="E9" s="7" t="s">
        <v>95</v>
      </c>
      <c r="F9" s="7" t="s">
        <v>96</v>
      </c>
      <c r="G9" s="7" t="n">
        <v>231</v>
      </c>
      <c r="H9" s="7" t="s">
        <v>97</v>
      </c>
      <c r="I9" s="7" t="s">
        <v>39</v>
      </c>
      <c r="J9" s="7" t="s">
        <v>40</v>
      </c>
      <c r="K9" s="7" t="s">
        <v>98</v>
      </c>
      <c r="L9" s="7" t="s">
        <v>42</v>
      </c>
      <c r="M9" s="7" t="s">
        <v>99</v>
      </c>
    </row>
    <row r="10" customFormat="false" ht="15" hidden="false" customHeight="false" outlineLevel="0" collapsed="false">
      <c r="A10" s="6" t="s">
        <v>100</v>
      </c>
      <c r="B10" s="6" t="s">
        <v>101</v>
      </c>
      <c r="C10" s="6" t="str">
        <f aca="false">LEFT(B10,10)</f>
        <v>24.845.692</v>
      </c>
      <c r="D10" s="6" t="s">
        <v>94</v>
      </c>
      <c r="E10" s="6" t="s">
        <v>95</v>
      </c>
      <c r="F10" s="6" t="s">
        <v>102</v>
      </c>
      <c r="G10" s="6" t="n">
        <v>66</v>
      </c>
      <c r="H10" s="6" t="s">
        <v>103</v>
      </c>
      <c r="I10" s="6" t="s">
        <v>104</v>
      </c>
      <c r="J10" s="6" t="s">
        <v>105</v>
      </c>
      <c r="K10" s="6" t="s">
        <v>106</v>
      </c>
      <c r="L10" s="6" t="s">
        <v>42</v>
      </c>
      <c r="M10" s="6"/>
    </row>
    <row r="11" customFormat="false" ht="15" hidden="false" customHeight="false" outlineLevel="0" collapsed="false">
      <c r="A11" s="6" t="s">
        <v>107</v>
      </c>
      <c r="B11" s="6" t="s">
        <v>108</v>
      </c>
      <c r="C11" s="6" t="str">
        <f aca="false">LEFT(B11,10)</f>
        <v>24.845.692</v>
      </c>
      <c r="D11" s="6" t="s">
        <v>94</v>
      </c>
      <c r="E11" s="6" t="s">
        <v>95</v>
      </c>
      <c r="F11" s="6" t="s">
        <v>109</v>
      </c>
      <c r="G11" s="6" t="n">
        <v>1228</v>
      </c>
      <c r="H11" s="6" t="s">
        <v>110</v>
      </c>
      <c r="I11" s="6" t="s">
        <v>111</v>
      </c>
      <c r="J11" s="6" t="s">
        <v>50</v>
      </c>
      <c r="K11" s="6" t="s">
        <v>112</v>
      </c>
      <c r="L11" s="6" t="s">
        <v>42</v>
      </c>
      <c r="M11" s="6"/>
    </row>
    <row r="12" customFormat="false" ht="15" hidden="false" customHeight="false" outlineLevel="0" collapsed="false">
      <c r="A12" s="7" t="s">
        <v>113</v>
      </c>
      <c r="B12" s="7" t="s">
        <v>114</v>
      </c>
      <c r="C12" s="7" t="str">
        <f aca="false">LEFT(B12,10)</f>
        <v>24.845.692</v>
      </c>
      <c r="D12" s="7" t="s">
        <v>94</v>
      </c>
      <c r="E12" s="7" t="s">
        <v>95</v>
      </c>
      <c r="F12" s="7" t="s">
        <v>115</v>
      </c>
      <c r="G12" s="7" t="s">
        <v>116</v>
      </c>
      <c r="H12" s="7" t="s">
        <v>117</v>
      </c>
      <c r="I12" s="7" t="s">
        <v>118</v>
      </c>
      <c r="J12" s="7" t="s">
        <v>119</v>
      </c>
      <c r="K12" s="7" t="s">
        <v>120</v>
      </c>
      <c r="L12" s="7" t="s">
        <v>42</v>
      </c>
      <c r="M12" s="7" t="s">
        <v>121</v>
      </c>
    </row>
    <row r="13" customFormat="false" ht="15" hidden="false" customHeight="false" outlineLevel="0" collapsed="false">
      <c r="A13" s="6" t="s">
        <v>122</v>
      </c>
      <c r="B13" s="6" t="s">
        <v>123</v>
      </c>
      <c r="C13" s="6" t="str">
        <f aca="false">LEFT(B13,10)</f>
        <v>14.253.955</v>
      </c>
      <c r="D13" s="6" t="s">
        <v>124</v>
      </c>
      <c r="E13" s="6" t="s">
        <v>125</v>
      </c>
      <c r="F13" s="6" t="s">
        <v>126</v>
      </c>
      <c r="G13" s="6" t="n">
        <v>140</v>
      </c>
      <c r="H13" s="6" t="s">
        <v>127</v>
      </c>
      <c r="I13" s="6" t="s">
        <v>39</v>
      </c>
      <c r="J13" s="6" t="s">
        <v>40</v>
      </c>
      <c r="K13" s="6" t="s">
        <v>128</v>
      </c>
      <c r="L13" s="6" t="s">
        <v>42</v>
      </c>
      <c r="M13" s="6"/>
    </row>
    <row r="14" customFormat="false" ht="15" hidden="false" customHeight="false" outlineLevel="0" collapsed="false">
      <c r="A14" s="7" t="s">
        <v>129</v>
      </c>
      <c r="B14" s="7" t="s">
        <v>130</v>
      </c>
      <c r="C14" s="7" t="str">
        <f aca="false">LEFT(B14,10)</f>
        <v>50.229.729</v>
      </c>
      <c r="D14" s="7" t="s">
        <v>131</v>
      </c>
      <c r="E14" s="7" t="s">
        <v>132</v>
      </c>
      <c r="F14" s="7" t="s">
        <v>133</v>
      </c>
      <c r="G14" s="7" t="n">
        <v>211</v>
      </c>
      <c r="H14" s="7" t="s">
        <v>134</v>
      </c>
      <c r="I14" s="7" t="s">
        <v>39</v>
      </c>
      <c r="J14" s="7" t="s">
        <v>40</v>
      </c>
      <c r="K14" s="7" t="s">
        <v>135</v>
      </c>
      <c r="L14" s="7" t="s">
        <v>42</v>
      </c>
      <c r="M14" s="7" t="s">
        <v>136</v>
      </c>
    </row>
    <row r="15" customFormat="false" ht="15" hidden="false" customHeight="false" outlineLevel="0" collapsed="false">
      <c r="A15" s="6" t="s">
        <v>137</v>
      </c>
      <c r="B15" s="6" t="s">
        <v>138</v>
      </c>
      <c r="C15" s="6" t="str">
        <f aca="false">LEFT(B15,10)</f>
        <v>36.567.606</v>
      </c>
      <c r="D15" s="6" t="s">
        <v>139</v>
      </c>
      <c r="E15" s="6" t="s">
        <v>140</v>
      </c>
      <c r="F15" s="6" t="s">
        <v>141</v>
      </c>
      <c r="G15" s="6" t="n">
        <v>125</v>
      </c>
      <c r="H15" s="6" t="s">
        <v>142</v>
      </c>
      <c r="I15" s="6" t="s">
        <v>143</v>
      </c>
      <c r="J15" s="6" t="s">
        <v>144</v>
      </c>
      <c r="K15" s="6" t="s">
        <v>145</v>
      </c>
      <c r="L15" s="6" t="s">
        <v>42</v>
      </c>
      <c r="M15" s="6"/>
    </row>
    <row r="16" customFormat="false" ht="15" hidden="false" customHeight="false" outlineLevel="0" collapsed="false">
      <c r="A16" s="6" t="s">
        <v>146</v>
      </c>
      <c r="B16" s="6" t="s">
        <v>147</v>
      </c>
      <c r="C16" s="6" t="str">
        <f aca="false">LEFT(B16,10)</f>
        <v>51.570.098</v>
      </c>
      <c r="D16" s="6" t="s">
        <v>148</v>
      </c>
      <c r="E16" s="6" t="s">
        <v>149</v>
      </c>
      <c r="F16" s="6" t="s">
        <v>150</v>
      </c>
      <c r="G16" s="6" t="n">
        <v>777</v>
      </c>
      <c r="H16" s="6" t="s">
        <v>151</v>
      </c>
      <c r="I16" s="6" t="s">
        <v>39</v>
      </c>
      <c r="J16" s="6" t="s">
        <v>40</v>
      </c>
      <c r="K16" s="6" t="s">
        <v>152</v>
      </c>
      <c r="L16" s="6" t="s">
        <v>42</v>
      </c>
      <c r="M16" s="6"/>
    </row>
    <row r="17" customFormat="false" ht="15" hidden="false" customHeight="false" outlineLevel="0" collapsed="false">
      <c r="A17" s="6" t="s">
        <v>153</v>
      </c>
      <c r="B17" s="6" t="s">
        <v>154</v>
      </c>
      <c r="C17" s="6" t="str">
        <f aca="false">LEFT(B17,10)</f>
        <v>34.794.316</v>
      </c>
      <c r="D17" s="6" t="s">
        <v>155</v>
      </c>
      <c r="E17" s="6" t="s">
        <v>156</v>
      </c>
      <c r="F17" s="6" t="s">
        <v>157</v>
      </c>
      <c r="G17" s="6" t="n">
        <v>307</v>
      </c>
      <c r="H17" s="6" t="s">
        <v>158</v>
      </c>
      <c r="I17" s="6" t="s">
        <v>159</v>
      </c>
      <c r="J17" s="6" t="s">
        <v>40</v>
      </c>
      <c r="K17" s="6" t="s">
        <v>160</v>
      </c>
      <c r="L17" s="6" t="s">
        <v>42</v>
      </c>
      <c r="M17" s="6"/>
    </row>
    <row r="18" customFormat="false" ht="15" hidden="false" customHeight="false" outlineLevel="0" collapsed="false">
      <c r="A18" s="7" t="s">
        <v>161</v>
      </c>
      <c r="B18" s="7" t="s">
        <v>162</v>
      </c>
      <c r="C18" s="7" t="str">
        <f aca="false">LEFT(B18,10)</f>
        <v>57.708.859</v>
      </c>
      <c r="D18" s="7" t="s">
        <v>163</v>
      </c>
      <c r="E18" s="7" t="s">
        <v>164</v>
      </c>
      <c r="F18" s="7" t="s">
        <v>165</v>
      </c>
      <c r="G18" s="7" t="n">
        <v>1117</v>
      </c>
      <c r="H18" s="7" t="s">
        <v>166</v>
      </c>
      <c r="I18" s="7" t="s">
        <v>167</v>
      </c>
      <c r="J18" s="7" t="s">
        <v>168</v>
      </c>
      <c r="K18" s="7" t="s">
        <v>169</v>
      </c>
      <c r="L18" s="7" t="s">
        <v>42</v>
      </c>
      <c r="M18" s="7" t="s">
        <v>170</v>
      </c>
    </row>
    <row r="19" customFormat="false" ht="15" hidden="false" customHeight="false" outlineLevel="0" collapsed="false">
      <c r="A19" s="6" t="s">
        <v>171</v>
      </c>
      <c r="B19" s="6" t="s">
        <v>172</v>
      </c>
      <c r="C19" s="6" t="str">
        <f aca="false">LEFT(B19,10)</f>
        <v>58.520.736</v>
      </c>
      <c r="D19" s="6" t="s">
        <v>173</v>
      </c>
      <c r="E19" s="6" t="s">
        <v>174</v>
      </c>
      <c r="F19" s="6" t="s">
        <v>175</v>
      </c>
      <c r="G19" s="6" t="n">
        <v>26</v>
      </c>
      <c r="H19" s="6" t="s">
        <v>176</v>
      </c>
      <c r="I19" s="6" t="s">
        <v>39</v>
      </c>
      <c r="J19" s="6" t="s">
        <v>40</v>
      </c>
      <c r="K19" s="6" t="s">
        <v>177</v>
      </c>
      <c r="L19" s="6" t="s">
        <v>42</v>
      </c>
      <c r="M19" s="6"/>
    </row>
    <row r="20" customFormat="false" ht="15" hidden="false" customHeight="false" outlineLevel="0" collapsed="false">
      <c r="A20" s="7" t="s">
        <v>178</v>
      </c>
      <c r="B20" s="7" t="s">
        <v>179</v>
      </c>
      <c r="C20" s="7" t="str">
        <f aca="false">LEFT(B20,10)</f>
        <v>12.429.006</v>
      </c>
      <c r="D20" s="7" t="s">
        <v>180</v>
      </c>
      <c r="E20" s="7" t="s">
        <v>180</v>
      </c>
      <c r="F20" s="7" t="s">
        <v>181</v>
      </c>
      <c r="G20" s="7" t="n">
        <v>873</v>
      </c>
      <c r="H20" s="7" t="s">
        <v>182</v>
      </c>
      <c r="I20" s="7" t="s">
        <v>39</v>
      </c>
      <c r="J20" s="7" t="s">
        <v>40</v>
      </c>
      <c r="K20" s="7" t="s">
        <v>183</v>
      </c>
      <c r="L20" s="7" t="s">
        <v>42</v>
      </c>
      <c r="M20" s="7" t="s">
        <v>184</v>
      </c>
    </row>
    <row r="21" customFormat="false" ht="15" hidden="false" customHeight="false" outlineLevel="0" collapsed="false">
      <c r="A21" s="7" t="s">
        <v>185</v>
      </c>
      <c r="B21" s="7" t="s">
        <v>186</v>
      </c>
      <c r="C21" s="7" t="str">
        <f aca="false">LEFT(B21,10)</f>
        <v>26.708.573</v>
      </c>
      <c r="D21" s="7" t="s">
        <v>187</v>
      </c>
      <c r="E21" s="7" t="s">
        <v>188</v>
      </c>
      <c r="F21" s="7" t="s">
        <v>189</v>
      </c>
      <c r="G21" s="7" t="n">
        <v>123</v>
      </c>
      <c r="H21" s="7" t="s">
        <v>190</v>
      </c>
      <c r="I21" s="7" t="s">
        <v>191</v>
      </c>
      <c r="J21" s="7" t="s">
        <v>192</v>
      </c>
      <c r="K21" s="7" t="s">
        <v>193</v>
      </c>
      <c r="L21" s="7" t="s">
        <v>42</v>
      </c>
      <c r="M21" s="7" t="s">
        <v>194</v>
      </c>
    </row>
    <row r="22" customFormat="false" ht="15" hidden="false" customHeight="false" outlineLevel="0" collapsed="false">
      <c r="A22" s="8" t="s">
        <v>195</v>
      </c>
      <c r="B22" s="8" t="s">
        <v>196</v>
      </c>
      <c r="C22" s="8"/>
      <c r="D22" s="8" t="s">
        <v>197</v>
      </c>
      <c r="E22" s="8" t="s">
        <v>197</v>
      </c>
      <c r="F22" s="8"/>
      <c r="G22" s="8"/>
      <c r="H22" s="8"/>
      <c r="I22" s="8"/>
      <c r="J22" s="8"/>
      <c r="K22" s="8"/>
      <c r="L22" s="8" t="s">
        <v>196</v>
      </c>
      <c r="M22" s="8" t="s">
        <v>198</v>
      </c>
    </row>
    <row r="23" customFormat="false" ht="15" hidden="false" customHeight="false" outlineLevel="0" collapsed="false">
      <c r="A23" s="8" t="s">
        <v>199</v>
      </c>
      <c r="B23" s="8" t="s">
        <v>196</v>
      </c>
      <c r="C23" s="8"/>
      <c r="D23" s="8" t="s">
        <v>200</v>
      </c>
      <c r="E23" s="8"/>
      <c r="F23" s="8"/>
      <c r="G23" s="8"/>
      <c r="H23" s="8"/>
      <c r="I23" s="8"/>
      <c r="J23" s="8"/>
      <c r="K23" s="8"/>
      <c r="L23" s="8" t="s">
        <v>196</v>
      </c>
      <c r="M23" s="8" t="s">
        <v>201</v>
      </c>
    </row>
    <row r="24" customFormat="false" ht="15" hidden="false" customHeight="false" outlineLevel="0" collapsed="false">
      <c r="A24" s="8" t="s">
        <v>202</v>
      </c>
      <c r="B24" s="8" t="s">
        <v>196</v>
      </c>
      <c r="C24" s="8"/>
      <c r="D24" s="8" t="s">
        <v>203</v>
      </c>
      <c r="E24" s="8"/>
      <c r="F24" s="8"/>
      <c r="G24" s="8"/>
      <c r="H24" s="8"/>
      <c r="I24" s="8"/>
      <c r="J24" s="8"/>
      <c r="K24" s="8"/>
      <c r="L24" s="8" t="s">
        <v>196</v>
      </c>
      <c r="M24" s="8" t="s">
        <v>204</v>
      </c>
    </row>
    <row r="25" customFormat="false" ht="15" hidden="false" customHeight="false" outlineLevel="0" collapsed="false">
      <c r="A25" s="8" t="s">
        <v>205</v>
      </c>
      <c r="B25" s="8" t="s">
        <v>196</v>
      </c>
      <c r="C25" s="8"/>
      <c r="D25" s="8" t="s">
        <v>206</v>
      </c>
      <c r="E25" s="8"/>
      <c r="F25" s="8"/>
      <c r="G25" s="8"/>
      <c r="H25" s="8"/>
      <c r="I25" s="8"/>
      <c r="J25" s="8"/>
      <c r="K25" s="8"/>
      <c r="L25" s="8" t="s">
        <v>196</v>
      </c>
      <c r="M25" s="8" t="s">
        <v>207</v>
      </c>
    </row>
    <row r="26" customFormat="false" ht="15" hidden="false" customHeight="false" outlineLevel="0" collapsed="false">
      <c r="A26" s="8" t="s">
        <v>208</v>
      </c>
      <c r="B26" s="8" t="s">
        <v>196</v>
      </c>
      <c r="C26" s="8"/>
      <c r="D26" s="8" t="s">
        <v>209</v>
      </c>
      <c r="E26" s="8"/>
      <c r="F26" s="8"/>
      <c r="G26" s="8"/>
      <c r="H26" s="8"/>
      <c r="I26" s="8"/>
      <c r="J26" s="8"/>
      <c r="K26" s="8"/>
      <c r="L26" s="8" t="s">
        <v>196</v>
      </c>
      <c r="M26" s="8" t="s">
        <v>210</v>
      </c>
    </row>
  </sheetData>
  <dataValidations count="1">
    <dataValidation allowBlank="true" errorStyle="stop" operator="between" showDropDown="false" showErrorMessage="false" showInputMessage="false" sqref="L2:L26" type="list">
      <formula1>"Ativa,Inativa,Bloqueada,A_CONFIRMAR"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6"/>
    <col collapsed="false" customWidth="true" hidden="false" outlineLevel="0" max="4" min="4" style="0" width="14"/>
    <col collapsed="false" customWidth="true" hidden="false" outlineLevel="0" max="5" min="5" style="0" width="34"/>
    <col collapsed="false" customWidth="true" hidden="false" outlineLevel="0" max="6" min="6" style="0" width="12"/>
    <col collapsed="false" customWidth="true" hidden="false" outlineLevel="0" max="7" min="7" style="0" width="28"/>
    <col collapsed="false" customWidth="true" hidden="false" outlineLevel="0" max="8" min="8" style="0" width="8"/>
    <col collapsed="false" customWidth="true" hidden="false" outlineLevel="0" max="10" min="9" style="0" width="20"/>
    <col collapsed="false" customWidth="true" hidden="false" outlineLevel="0" max="11" min="11" style="0" width="5"/>
    <col collapsed="false" customWidth="true" hidden="false" outlineLevel="0" max="12" min="12" style="0" width="12"/>
    <col collapsed="false" customWidth="true" hidden="false" outlineLevel="0" max="13" min="13" style="0" width="10"/>
    <col collapsed="false" customWidth="true" hidden="false" outlineLevel="0" max="14" min="14" style="0" width="60"/>
  </cols>
  <sheetData>
    <row r="1" customFormat="false" ht="30" hidden="false" customHeight="true" outlineLevel="0" collapsed="false">
      <c r="A1" s="5" t="s">
        <v>211</v>
      </c>
      <c r="B1" s="5" t="s">
        <v>212</v>
      </c>
      <c r="C1" s="5" t="s">
        <v>213</v>
      </c>
      <c r="D1" s="5" t="s">
        <v>214</v>
      </c>
      <c r="E1" s="5" t="s">
        <v>215</v>
      </c>
      <c r="F1" s="5" t="s">
        <v>216</v>
      </c>
      <c r="G1" s="5" t="s">
        <v>25</v>
      </c>
      <c r="H1" s="5" t="s">
        <v>26</v>
      </c>
      <c r="I1" s="5" t="s">
        <v>27</v>
      </c>
      <c r="J1" s="5" t="s">
        <v>28</v>
      </c>
      <c r="K1" s="5" t="s">
        <v>29</v>
      </c>
      <c r="L1" s="5" t="s">
        <v>30</v>
      </c>
      <c r="M1" s="5" t="s">
        <v>31</v>
      </c>
      <c r="N1" s="5" t="s">
        <v>32</v>
      </c>
    </row>
    <row r="2" customFormat="false" ht="15" hidden="false" customHeight="false" outlineLevel="0" collapsed="false">
      <c r="A2" s="7" t="s">
        <v>217</v>
      </c>
      <c r="B2" s="9"/>
      <c r="C2" s="9"/>
      <c r="D2" s="9" t="s">
        <v>218</v>
      </c>
      <c r="E2" s="7" t="s">
        <v>36</v>
      </c>
      <c r="F2" s="7"/>
      <c r="G2" s="7"/>
      <c r="H2" s="7"/>
      <c r="I2" s="7"/>
      <c r="J2" s="7"/>
      <c r="K2" s="7"/>
      <c r="L2" s="7"/>
      <c r="M2" s="7" t="s">
        <v>219</v>
      </c>
      <c r="N2" s="7" t="s">
        <v>220</v>
      </c>
    </row>
    <row r="3" customFormat="false" ht="15" hidden="false" customHeight="false" outlineLevel="0" collapsed="false">
      <c r="A3" s="6" t="s">
        <v>221</v>
      </c>
      <c r="B3" s="10"/>
      <c r="C3" s="10"/>
      <c r="D3" s="10" t="s">
        <v>222</v>
      </c>
      <c r="E3" s="6" t="s">
        <v>46</v>
      </c>
      <c r="F3" s="6"/>
      <c r="G3" s="6" t="s">
        <v>47</v>
      </c>
      <c r="H3" s="6" t="n">
        <v>44</v>
      </c>
      <c r="I3" s="6" t="s">
        <v>48</v>
      </c>
      <c r="J3" s="6" t="s">
        <v>49</v>
      </c>
      <c r="K3" s="6" t="s">
        <v>50</v>
      </c>
      <c r="L3" s="6" t="s">
        <v>51</v>
      </c>
      <c r="M3" s="6" t="s">
        <v>219</v>
      </c>
      <c r="N3" s="6"/>
    </row>
    <row r="4" customFormat="false" ht="15" hidden="false" customHeight="false" outlineLevel="0" collapsed="false">
      <c r="A4" s="6" t="s">
        <v>223</v>
      </c>
      <c r="B4" s="10"/>
      <c r="C4" s="10"/>
      <c r="D4" s="10" t="s">
        <v>224</v>
      </c>
      <c r="E4" s="6" t="s">
        <v>55</v>
      </c>
      <c r="F4" s="6"/>
      <c r="G4" s="6" t="s">
        <v>225</v>
      </c>
      <c r="H4" s="6" t="n">
        <v>381</v>
      </c>
      <c r="I4" s="6" t="s">
        <v>226</v>
      </c>
      <c r="J4" s="6" t="s">
        <v>83</v>
      </c>
      <c r="K4" s="6" t="s">
        <v>50</v>
      </c>
      <c r="L4" s="6" t="s">
        <v>227</v>
      </c>
      <c r="M4" s="6" t="s">
        <v>219</v>
      </c>
      <c r="N4" s="6"/>
    </row>
    <row r="5" customFormat="false" ht="15" hidden="false" customHeight="false" outlineLevel="0" collapsed="false">
      <c r="A5" s="6" t="s">
        <v>228</v>
      </c>
      <c r="B5" s="10"/>
      <c r="C5" s="10"/>
      <c r="D5" s="10" t="s">
        <v>229</v>
      </c>
      <c r="E5" s="6" t="s">
        <v>230</v>
      </c>
      <c r="F5" s="6"/>
      <c r="G5" s="6"/>
      <c r="H5" s="6"/>
      <c r="I5" s="6"/>
      <c r="J5" s="6"/>
      <c r="K5" s="6"/>
      <c r="L5" s="6"/>
      <c r="M5" s="6" t="s">
        <v>219</v>
      </c>
      <c r="N5" s="6"/>
    </row>
    <row r="6" customFormat="false" ht="15" hidden="false" customHeight="false" outlineLevel="0" collapsed="false">
      <c r="A6" s="6" t="s">
        <v>231</v>
      </c>
      <c r="B6" s="10"/>
      <c r="C6" s="10"/>
      <c r="D6" s="10" t="s">
        <v>232</v>
      </c>
      <c r="E6" s="6" t="s">
        <v>233</v>
      </c>
      <c r="F6" s="6"/>
      <c r="G6" s="6"/>
      <c r="H6" s="6"/>
      <c r="I6" s="6"/>
      <c r="J6" s="6"/>
      <c r="K6" s="6"/>
      <c r="L6" s="6"/>
      <c r="M6" s="6" t="s">
        <v>219</v>
      </c>
      <c r="N6" s="6"/>
    </row>
    <row r="7" customFormat="false" ht="15" hidden="false" customHeight="false" outlineLevel="0" collapsed="false">
      <c r="A7" s="6" t="s">
        <v>234</v>
      </c>
      <c r="B7" s="10"/>
      <c r="C7" s="10"/>
      <c r="D7" s="10" t="s">
        <v>235</v>
      </c>
      <c r="E7" s="6" t="s">
        <v>236</v>
      </c>
      <c r="F7" s="6"/>
      <c r="G7" s="6"/>
      <c r="H7" s="6"/>
      <c r="I7" s="6"/>
      <c r="J7" s="6"/>
      <c r="K7" s="6"/>
      <c r="L7" s="6"/>
      <c r="M7" s="6" t="s">
        <v>219</v>
      </c>
      <c r="N7" s="6"/>
    </row>
    <row r="8" customFormat="false" ht="15" hidden="false" customHeight="false" outlineLevel="0" collapsed="false">
      <c r="A8" s="6" t="s">
        <v>237</v>
      </c>
      <c r="B8" s="10"/>
      <c r="C8" s="10" t="s">
        <v>238</v>
      </c>
      <c r="D8" s="10"/>
      <c r="E8" s="6" t="s">
        <v>72</v>
      </c>
      <c r="F8" s="6"/>
      <c r="G8" s="6" t="s">
        <v>239</v>
      </c>
      <c r="H8" s="6" t="n">
        <v>14</v>
      </c>
      <c r="I8" s="6" t="s">
        <v>74</v>
      </c>
      <c r="J8" s="6" t="s">
        <v>75</v>
      </c>
      <c r="K8" s="6" t="s">
        <v>40</v>
      </c>
      <c r="L8" s="6" t="s">
        <v>240</v>
      </c>
      <c r="M8" s="6" t="s">
        <v>219</v>
      </c>
      <c r="N8" s="6"/>
    </row>
    <row r="9" customFormat="false" ht="15" hidden="false" customHeight="false" outlineLevel="0" collapsed="false">
      <c r="A9" s="6" t="s">
        <v>241</v>
      </c>
      <c r="B9" s="10"/>
      <c r="C9" s="10"/>
      <c r="D9" s="10" t="s">
        <v>242</v>
      </c>
      <c r="E9" s="6" t="s">
        <v>80</v>
      </c>
      <c r="F9" s="6"/>
      <c r="G9" s="6" t="s">
        <v>81</v>
      </c>
      <c r="H9" s="6" t="n">
        <v>116</v>
      </c>
      <c r="I9" s="6" t="s">
        <v>82</v>
      </c>
      <c r="J9" s="6" t="s">
        <v>83</v>
      </c>
      <c r="K9" s="6" t="s">
        <v>50</v>
      </c>
      <c r="L9" s="6" t="s">
        <v>84</v>
      </c>
      <c r="M9" s="6" t="s">
        <v>219</v>
      </c>
      <c r="N9" s="6"/>
    </row>
    <row r="10" customFormat="false" ht="15" hidden="false" customHeight="false" outlineLevel="0" collapsed="false">
      <c r="A10" s="6" t="s">
        <v>243</v>
      </c>
      <c r="B10" s="10"/>
      <c r="C10" s="10"/>
      <c r="D10" s="10" t="s">
        <v>244</v>
      </c>
      <c r="E10" s="6" t="s">
        <v>88</v>
      </c>
      <c r="F10" s="6"/>
      <c r="G10" s="6"/>
      <c r="H10" s="6"/>
      <c r="I10" s="6"/>
      <c r="J10" s="6"/>
      <c r="K10" s="6"/>
      <c r="L10" s="6"/>
      <c r="M10" s="6" t="s">
        <v>219</v>
      </c>
      <c r="N10" s="6"/>
    </row>
    <row r="11" customFormat="false" ht="15" hidden="false" customHeight="false" outlineLevel="0" collapsed="false">
      <c r="A11" s="7" t="s">
        <v>245</v>
      </c>
      <c r="B11" s="9" t="s">
        <v>246</v>
      </c>
      <c r="C11" s="9"/>
      <c r="D11" s="9"/>
      <c r="E11" s="7" t="s">
        <v>247</v>
      </c>
      <c r="F11" s="7"/>
      <c r="G11" s="7"/>
      <c r="H11" s="7"/>
      <c r="I11" s="7"/>
      <c r="J11" s="7"/>
      <c r="K11" s="7"/>
      <c r="L11" s="7"/>
      <c r="M11" s="7" t="s">
        <v>219</v>
      </c>
      <c r="N11" s="7" t="s">
        <v>248</v>
      </c>
    </row>
    <row r="12" customFormat="false" ht="15" hidden="false" customHeight="false" outlineLevel="0" collapsed="false">
      <c r="A12" s="7" t="s">
        <v>249</v>
      </c>
      <c r="B12" s="9"/>
      <c r="C12" s="9"/>
      <c r="D12" s="9" t="s">
        <v>250</v>
      </c>
      <c r="E12" s="7" t="s">
        <v>251</v>
      </c>
      <c r="F12" s="7"/>
      <c r="G12" s="7"/>
      <c r="H12" s="7"/>
      <c r="I12" s="7"/>
      <c r="J12" s="7"/>
      <c r="K12" s="7"/>
      <c r="L12" s="7"/>
      <c r="M12" s="7" t="s">
        <v>219</v>
      </c>
      <c r="N12" s="7" t="s">
        <v>252</v>
      </c>
    </row>
    <row r="13" customFormat="false" ht="15" hidden="false" customHeight="false" outlineLevel="0" collapsed="false">
      <c r="A13" s="6" t="s">
        <v>253</v>
      </c>
      <c r="B13" s="10"/>
      <c r="C13" s="10"/>
      <c r="D13" s="10" t="s">
        <v>254</v>
      </c>
      <c r="E13" s="6" t="s">
        <v>125</v>
      </c>
      <c r="F13" s="6"/>
      <c r="G13" s="6"/>
      <c r="H13" s="6"/>
      <c r="I13" s="6"/>
      <c r="J13" s="6"/>
      <c r="K13" s="6"/>
      <c r="L13" s="6"/>
      <c r="M13" s="6" t="s">
        <v>219</v>
      </c>
      <c r="N13" s="6"/>
    </row>
    <row r="14" customFormat="false" ht="15" hidden="false" customHeight="false" outlineLevel="0" collapsed="false">
      <c r="A14" s="6" t="s">
        <v>255</v>
      </c>
      <c r="B14" s="10"/>
      <c r="C14" s="10"/>
      <c r="D14" s="10" t="s">
        <v>256</v>
      </c>
      <c r="E14" s="6" t="s">
        <v>257</v>
      </c>
      <c r="F14" s="6"/>
      <c r="G14" s="6"/>
      <c r="H14" s="6"/>
      <c r="I14" s="6"/>
      <c r="J14" s="6"/>
      <c r="K14" s="6"/>
      <c r="L14" s="6"/>
      <c r="M14" s="6" t="s">
        <v>219</v>
      </c>
      <c r="N14" s="6"/>
    </row>
    <row r="15" customFormat="false" ht="15" hidden="false" customHeight="false" outlineLevel="0" collapsed="false">
      <c r="A15" s="6" t="s">
        <v>258</v>
      </c>
      <c r="B15" s="10"/>
      <c r="C15" s="10"/>
      <c r="D15" s="10" t="s">
        <v>259</v>
      </c>
      <c r="E15" s="6" t="s">
        <v>260</v>
      </c>
      <c r="F15" s="6"/>
      <c r="G15" s="6"/>
      <c r="H15" s="6"/>
      <c r="I15" s="6"/>
      <c r="J15" s="6"/>
      <c r="K15" s="6"/>
      <c r="L15" s="6"/>
      <c r="M15" s="6" t="s">
        <v>219</v>
      </c>
      <c r="N15" s="6"/>
    </row>
    <row r="16" customFormat="false" ht="15" hidden="false" customHeight="false" outlineLevel="0" collapsed="false">
      <c r="A16" s="6" t="s">
        <v>261</v>
      </c>
      <c r="B16" s="10"/>
      <c r="C16" s="10" t="s">
        <v>262</v>
      </c>
      <c r="D16" s="10" t="s">
        <v>263</v>
      </c>
      <c r="E16" s="6" t="s">
        <v>264</v>
      </c>
      <c r="F16" s="6"/>
      <c r="G16" s="6"/>
      <c r="H16" s="6"/>
      <c r="I16" s="6"/>
      <c r="J16" s="6"/>
      <c r="K16" s="6"/>
      <c r="L16" s="6"/>
      <c r="M16" s="6" t="s">
        <v>219</v>
      </c>
      <c r="N16" s="6"/>
    </row>
    <row r="17" customFormat="false" ht="15" hidden="false" customHeight="false" outlineLevel="0" collapsed="false">
      <c r="A17" s="6" t="s">
        <v>265</v>
      </c>
      <c r="B17" s="10"/>
      <c r="C17" s="10"/>
      <c r="D17" s="10" t="s">
        <v>266</v>
      </c>
      <c r="E17" s="6" t="s">
        <v>149</v>
      </c>
      <c r="F17" s="6"/>
      <c r="G17" s="6"/>
      <c r="H17" s="6"/>
      <c r="I17" s="6"/>
      <c r="J17" s="6"/>
      <c r="K17" s="6"/>
      <c r="L17" s="6"/>
      <c r="M17" s="6" t="s">
        <v>219</v>
      </c>
      <c r="N17" s="6"/>
    </row>
    <row r="18" customFormat="false" ht="15" hidden="false" customHeight="false" outlineLevel="0" collapsed="false">
      <c r="A18" s="6" t="s">
        <v>267</v>
      </c>
      <c r="B18" s="10"/>
      <c r="C18" s="10"/>
      <c r="D18" s="10" t="s">
        <v>268</v>
      </c>
      <c r="E18" s="6" t="s">
        <v>156</v>
      </c>
      <c r="F18" s="6"/>
      <c r="G18" s="6"/>
      <c r="H18" s="6"/>
      <c r="I18" s="6"/>
      <c r="J18" s="6"/>
      <c r="K18" s="6"/>
      <c r="L18" s="6"/>
      <c r="M18" s="6" t="s">
        <v>219</v>
      </c>
      <c r="N18" s="6"/>
    </row>
    <row r="19" customFormat="false" ht="15" hidden="false" customHeight="false" outlineLevel="0" collapsed="false">
      <c r="A19" s="6" t="s">
        <v>269</v>
      </c>
      <c r="B19" s="10"/>
      <c r="C19" s="10"/>
      <c r="D19" s="10" t="s">
        <v>270</v>
      </c>
      <c r="E19" s="6" t="s">
        <v>164</v>
      </c>
      <c r="F19" s="6"/>
      <c r="G19" s="6"/>
      <c r="H19" s="6"/>
      <c r="I19" s="6"/>
      <c r="J19" s="6"/>
      <c r="K19" s="6"/>
      <c r="L19" s="6"/>
      <c r="M19" s="6" t="s">
        <v>219</v>
      </c>
      <c r="N19" s="6"/>
    </row>
    <row r="20" customFormat="false" ht="15" hidden="false" customHeight="false" outlineLevel="0" collapsed="false">
      <c r="A20" s="7" t="s">
        <v>271</v>
      </c>
      <c r="B20" s="9" t="s">
        <v>272</v>
      </c>
      <c r="C20" s="9"/>
      <c r="D20" s="9" t="s">
        <v>273</v>
      </c>
      <c r="E20" s="7" t="s">
        <v>274</v>
      </c>
      <c r="F20" s="7"/>
      <c r="G20" s="7"/>
      <c r="H20" s="7"/>
      <c r="I20" s="7"/>
      <c r="J20" s="7"/>
      <c r="K20" s="7"/>
      <c r="L20" s="7"/>
      <c r="M20" s="7" t="s">
        <v>219</v>
      </c>
      <c r="N20" s="7" t="s">
        <v>275</v>
      </c>
    </row>
    <row r="21" customFormat="false" ht="15" hidden="false" customHeight="false" outlineLevel="0" collapsed="false">
      <c r="A21" s="6" t="s">
        <v>276</v>
      </c>
      <c r="B21" s="10"/>
      <c r="C21" s="10"/>
      <c r="D21" s="10" t="s">
        <v>277</v>
      </c>
      <c r="E21" s="6" t="s">
        <v>278</v>
      </c>
      <c r="F21" s="6"/>
      <c r="G21" s="6"/>
      <c r="H21" s="6"/>
      <c r="I21" s="6"/>
      <c r="J21" s="6"/>
      <c r="K21" s="6"/>
      <c r="L21" s="6"/>
      <c r="M21" s="6" t="s">
        <v>219</v>
      </c>
      <c r="N21" s="6"/>
    </row>
    <row r="22" customFormat="false" ht="15" hidden="false" customHeight="false" outlineLevel="0" collapsed="false">
      <c r="A22" s="6" t="s">
        <v>279</v>
      </c>
      <c r="B22" s="10"/>
      <c r="C22" s="10"/>
      <c r="D22" s="10"/>
      <c r="E22" s="6" t="s">
        <v>280</v>
      </c>
      <c r="F22" s="6"/>
      <c r="G22" s="6"/>
      <c r="H22" s="6"/>
      <c r="I22" s="6"/>
      <c r="J22" s="6"/>
      <c r="K22" s="6"/>
      <c r="L22" s="6"/>
      <c r="M22" s="6" t="s">
        <v>219</v>
      </c>
      <c r="N22" s="6"/>
    </row>
    <row r="23" customFormat="false" ht="15" hidden="false" customHeight="false" outlineLevel="0" collapsed="false">
      <c r="A23" s="6" t="s">
        <v>281</v>
      </c>
      <c r="B23" s="10"/>
      <c r="C23" s="10"/>
      <c r="D23" s="10"/>
      <c r="E23" s="6" t="s">
        <v>282</v>
      </c>
      <c r="F23" s="6"/>
      <c r="G23" s="6"/>
      <c r="H23" s="6"/>
      <c r="I23" s="6"/>
      <c r="J23" s="6"/>
      <c r="K23" s="6"/>
      <c r="L23" s="6"/>
      <c r="M23" s="6" t="s">
        <v>219</v>
      </c>
      <c r="N23" s="6"/>
    </row>
    <row r="24" customFormat="false" ht="15" hidden="false" customHeight="false" outlineLevel="0" collapsed="false">
      <c r="A24" s="6" t="s">
        <v>283</v>
      </c>
      <c r="B24" s="10"/>
      <c r="C24" s="10"/>
      <c r="D24" s="10"/>
      <c r="E24" s="6" t="s">
        <v>284</v>
      </c>
      <c r="F24" s="6"/>
      <c r="G24" s="6"/>
      <c r="H24" s="6"/>
      <c r="I24" s="6"/>
      <c r="J24" s="6"/>
      <c r="K24" s="6"/>
      <c r="L24" s="6"/>
      <c r="M24" s="6" t="s">
        <v>219</v>
      </c>
      <c r="N24" s="6"/>
    </row>
    <row r="25" customFormat="false" ht="15" hidden="false" customHeight="false" outlineLevel="0" collapsed="false">
      <c r="A25" s="6" t="s">
        <v>285</v>
      </c>
      <c r="B25" s="10"/>
      <c r="C25" s="10"/>
      <c r="D25" s="10"/>
      <c r="E25" s="6" t="s">
        <v>180</v>
      </c>
      <c r="F25" s="6"/>
      <c r="G25" s="6"/>
      <c r="H25" s="6"/>
      <c r="I25" s="6"/>
      <c r="J25" s="6"/>
      <c r="K25" s="6"/>
      <c r="L25" s="6"/>
      <c r="M25" s="6" t="s">
        <v>219</v>
      </c>
      <c r="N25" s="6"/>
    </row>
    <row r="26" customFormat="false" ht="15" hidden="false" customHeight="false" outlineLevel="0" collapsed="false">
      <c r="A26" s="6" t="s">
        <v>286</v>
      </c>
      <c r="B26" s="10"/>
      <c r="C26" s="10"/>
      <c r="D26" s="10"/>
      <c r="E26" s="6" t="s">
        <v>287</v>
      </c>
      <c r="F26" s="6"/>
      <c r="G26" s="6"/>
      <c r="H26" s="6"/>
      <c r="I26" s="6"/>
      <c r="J26" s="6"/>
      <c r="K26" s="6"/>
      <c r="L26" s="6"/>
      <c r="M26" s="6" t="s">
        <v>219</v>
      </c>
      <c r="N26" s="6"/>
    </row>
    <row r="27" customFormat="false" ht="15" hidden="false" customHeight="false" outlineLevel="0" collapsed="false">
      <c r="A27" s="6" t="s">
        <v>288</v>
      </c>
      <c r="B27" s="10"/>
      <c r="C27" s="10"/>
      <c r="D27" s="10" t="s">
        <v>289</v>
      </c>
      <c r="E27" s="6" t="s">
        <v>290</v>
      </c>
      <c r="F27" s="6"/>
      <c r="G27" s="6"/>
      <c r="H27" s="6"/>
      <c r="I27" s="6"/>
      <c r="J27" s="6"/>
      <c r="K27" s="6"/>
      <c r="L27" s="6"/>
      <c r="M27" s="6" t="s">
        <v>219</v>
      </c>
      <c r="N27" s="6"/>
    </row>
    <row r="28" customFormat="false" ht="15" hidden="false" customHeight="false" outlineLevel="0" collapsed="false">
      <c r="A28" s="6" t="s">
        <v>291</v>
      </c>
      <c r="B28" s="10"/>
      <c r="C28" s="10"/>
      <c r="D28" s="10" t="s">
        <v>292</v>
      </c>
      <c r="E28" s="6" t="s">
        <v>293</v>
      </c>
      <c r="F28" s="6"/>
      <c r="G28" s="6"/>
      <c r="H28" s="6"/>
      <c r="I28" s="6"/>
      <c r="J28" s="6"/>
      <c r="K28" s="6"/>
      <c r="L28" s="6"/>
      <c r="M28" s="6" t="s">
        <v>219</v>
      </c>
      <c r="N28" s="6"/>
    </row>
    <row r="29" customFormat="false" ht="15" hidden="false" customHeight="false" outlineLevel="0" collapsed="false">
      <c r="A29" s="6" t="s">
        <v>294</v>
      </c>
      <c r="B29" s="10"/>
      <c r="C29" s="10"/>
      <c r="D29" s="10" t="s">
        <v>295</v>
      </c>
      <c r="E29" s="6" t="s">
        <v>296</v>
      </c>
      <c r="F29" s="6"/>
      <c r="G29" s="6"/>
      <c r="H29" s="6"/>
      <c r="I29" s="6"/>
      <c r="J29" s="6"/>
      <c r="K29" s="6"/>
      <c r="L29" s="6"/>
      <c r="M29" s="6" t="s">
        <v>219</v>
      </c>
      <c r="N29" s="6"/>
    </row>
    <row r="30" customFormat="false" ht="15" hidden="false" customHeight="false" outlineLevel="0" collapsed="false">
      <c r="A30" s="6" t="s">
        <v>297</v>
      </c>
      <c r="B30" s="10"/>
      <c r="C30" s="10"/>
      <c r="D30" s="10"/>
      <c r="E30" s="6" t="s">
        <v>298</v>
      </c>
      <c r="F30" s="6"/>
      <c r="G30" s="6"/>
      <c r="H30" s="6"/>
      <c r="I30" s="6"/>
      <c r="J30" s="6"/>
      <c r="K30" s="6"/>
      <c r="L30" s="6"/>
      <c r="M30" s="6" t="s">
        <v>219</v>
      </c>
      <c r="N30" s="6"/>
    </row>
    <row r="31" customFormat="false" ht="15" hidden="false" customHeight="false" outlineLevel="0" collapsed="false">
      <c r="A31" s="6" t="s">
        <v>299</v>
      </c>
      <c r="B31" s="10"/>
      <c r="C31" s="10"/>
      <c r="D31" s="10" t="s">
        <v>300</v>
      </c>
      <c r="E31" s="6" t="s">
        <v>301</v>
      </c>
      <c r="F31" s="6"/>
      <c r="G31" s="6"/>
      <c r="H31" s="6"/>
      <c r="I31" s="6"/>
      <c r="J31" s="6"/>
      <c r="K31" s="6"/>
      <c r="L31" s="6"/>
      <c r="M31" s="6" t="s">
        <v>219</v>
      </c>
      <c r="N31" s="6"/>
    </row>
    <row r="32" customFormat="false" ht="15" hidden="false" customHeight="false" outlineLevel="0" collapsed="false">
      <c r="A32" s="6" t="s">
        <v>302</v>
      </c>
      <c r="B32" s="10"/>
      <c r="C32" s="10"/>
      <c r="D32" s="10" t="s">
        <v>303</v>
      </c>
      <c r="E32" s="6" t="s">
        <v>304</v>
      </c>
      <c r="F32" s="6"/>
      <c r="G32" s="6"/>
      <c r="H32" s="6"/>
      <c r="I32" s="6"/>
      <c r="J32" s="6"/>
      <c r="K32" s="6"/>
      <c r="L32" s="6"/>
      <c r="M32" s="6" t="s">
        <v>219</v>
      </c>
      <c r="N32" s="6"/>
    </row>
    <row r="33" customFormat="false" ht="15" hidden="false" customHeight="false" outlineLevel="0" collapsed="false">
      <c r="A33" s="6" t="s">
        <v>305</v>
      </c>
      <c r="B33" s="10"/>
      <c r="C33" s="10"/>
      <c r="D33" s="10" t="s">
        <v>306</v>
      </c>
      <c r="E33" s="6" t="s">
        <v>307</v>
      </c>
      <c r="F33" s="6"/>
      <c r="G33" s="6"/>
      <c r="H33" s="6"/>
      <c r="I33" s="6"/>
      <c r="J33" s="6"/>
      <c r="K33" s="6"/>
      <c r="L33" s="6"/>
      <c r="M33" s="6" t="s">
        <v>219</v>
      </c>
      <c r="N33" s="6"/>
    </row>
    <row r="34" customFormat="false" ht="15" hidden="false" customHeight="false" outlineLevel="0" collapsed="false">
      <c r="A34" s="6" t="s">
        <v>308</v>
      </c>
      <c r="B34" s="10"/>
      <c r="C34" s="10"/>
      <c r="D34" s="10" t="s">
        <v>309</v>
      </c>
      <c r="E34" s="6" t="s">
        <v>310</v>
      </c>
      <c r="F34" s="6"/>
      <c r="G34" s="6"/>
      <c r="H34" s="6"/>
      <c r="I34" s="6"/>
      <c r="J34" s="6"/>
      <c r="K34" s="6"/>
      <c r="L34" s="6"/>
      <c r="M34" s="6" t="s">
        <v>219</v>
      </c>
      <c r="N34" s="6"/>
    </row>
    <row r="35" customFormat="false" ht="15" hidden="false" customHeight="false" outlineLevel="0" collapsed="false">
      <c r="A35" s="6" t="s">
        <v>311</v>
      </c>
      <c r="B35" s="10"/>
      <c r="C35" s="10"/>
      <c r="D35" s="10"/>
      <c r="E35" s="6" t="s">
        <v>312</v>
      </c>
      <c r="F35" s="6"/>
      <c r="G35" s="6"/>
      <c r="H35" s="6"/>
      <c r="I35" s="6"/>
      <c r="J35" s="6"/>
      <c r="K35" s="6"/>
      <c r="L35" s="6"/>
      <c r="M35" s="6" t="s">
        <v>219</v>
      </c>
      <c r="N35" s="6"/>
    </row>
    <row r="36" customFormat="false" ht="15" hidden="false" customHeight="false" outlineLevel="0" collapsed="false">
      <c r="A36" s="6" t="s">
        <v>313</v>
      </c>
      <c r="B36" s="10"/>
      <c r="C36" s="10"/>
      <c r="D36" s="10" t="s">
        <v>314</v>
      </c>
      <c r="E36" s="6" t="s">
        <v>315</v>
      </c>
      <c r="F36" s="6"/>
      <c r="G36" s="6"/>
      <c r="H36" s="6"/>
      <c r="I36" s="6"/>
      <c r="J36" s="6"/>
      <c r="K36" s="6"/>
      <c r="L36" s="6"/>
      <c r="M36" s="6" t="s">
        <v>219</v>
      </c>
      <c r="N36" s="6"/>
    </row>
    <row r="37" customFormat="false" ht="15" hidden="false" customHeight="false" outlineLevel="0" collapsed="false">
      <c r="A37" s="6" t="s">
        <v>316</v>
      </c>
      <c r="B37" s="10"/>
      <c r="C37" s="10"/>
      <c r="D37" s="10" t="s">
        <v>317</v>
      </c>
      <c r="E37" s="6" t="s">
        <v>318</v>
      </c>
      <c r="F37" s="6"/>
      <c r="G37" s="6"/>
      <c r="H37" s="6"/>
      <c r="I37" s="6"/>
      <c r="J37" s="6"/>
      <c r="K37" s="6"/>
      <c r="L37" s="6"/>
      <c r="M37" s="6" t="s">
        <v>219</v>
      </c>
      <c r="N37" s="6"/>
    </row>
    <row r="38" customFormat="false" ht="15" hidden="false" customHeight="false" outlineLevel="0" collapsed="false">
      <c r="A38" s="6" t="s">
        <v>319</v>
      </c>
      <c r="B38" s="10"/>
      <c r="C38" s="10"/>
      <c r="D38" s="10"/>
      <c r="E38" s="6" t="s">
        <v>320</v>
      </c>
      <c r="F38" s="6"/>
      <c r="G38" s="6"/>
      <c r="H38" s="6"/>
      <c r="I38" s="6"/>
      <c r="J38" s="6"/>
      <c r="K38" s="6"/>
      <c r="L38" s="6"/>
      <c r="M38" s="6" t="s">
        <v>219</v>
      </c>
      <c r="N38" s="6"/>
    </row>
    <row r="39" customFormat="false" ht="15" hidden="false" customHeight="false" outlineLevel="0" collapsed="false">
      <c r="A39" s="6" t="s">
        <v>321</v>
      </c>
      <c r="B39" s="10"/>
      <c r="C39" s="10"/>
      <c r="D39" s="10" t="s">
        <v>322</v>
      </c>
      <c r="E39" s="6" t="s">
        <v>323</v>
      </c>
      <c r="F39" s="6"/>
      <c r="G39" s="6"/>
      <c r="H39" s="6"/>
      <c r="I39" s="6"/>
      <c r="J39" s="6"/>
      <c r="K39" s="6"/>
      <c r="L39" s="6"/>
      <c r="M39" s="6" t="s">
        <v>219</v>
      </c>
      <c r="N39" s="6"/>
    </row>
    <row r="40" customFormat="false" ht="15" hidden="false" customHeight="false" outlineLevel="0" collapsed="false">
      <c r="A40" s="7" t="s">
        <v>324</v>
      </c>
      <c r="B40" s="9"/>
      <c r="C40" s="9"/>
      <c r="D40" s="9"/>
      <c r="E40" s="7" t="s">
        <v>325</v>
      </c>
      <c r="F40" s="7"/>
      <c r="G40" s="7"/>
      <c r="H40" s="7"/>
      <c r="I40" s="7"/>
      <c r="J40" s="7"/>
      <c r="K40" s="7"/>
      <c r="L40" s="7"/>
      <c r="M40" s="7" t="s">
        <v>219</v>
      </c>
      <c r="N40" s="7" t="s">
        <v>326</v>
      </c>
    </row>
    <row r="41" customFormat="false" ht="15" hidden="false" customHeight="false" outlineLevel="0" collapsed="false">
      <c r="A41" s="6" t="s">
        <v>327</v>
      </c>
      <c r="B41" s="10"/>
      <c r="C41" s="10"/>
      <c r="D41" s="10" t="s">
        <v>328</v>
      </c>
      <c r="E41" s="6" t="s">
        <v>329</v>
      </c>
      <c r="F41" s="6"/>
      <c r="G41" s="6"/>
      <c r="H41" s="6"/>
      <c r="I41" s="6"/>
      <c r="J41" s="6"/>
      <c r="K41" s="6"/>
      <c r="L41" s="6"/>
      <c r="M41" s="6" t="s">
        <v>219</v>
      </c>
      <c r="N41" s="6"/>
    </row>
    <row r="42" customFormat="false" ht="15" hidden="false" customHeight="false" outlineLevel="0" collapsed="false">
      <c r="A42" s="8" t="s">
        <v>330</v>
      </c>
      <c r="B42" s="11"/>
      <c r="C42" s="11"/>
      <c r="D42" s="11"/>
      <c r="E42" s="8" t="s">
        <v>331</v>
      </c>
      <c r="F42" s="8"/>
      <c r="G42" s="8"/>
      <c r="H42" s="8"/>
      <c r="I42" s="8"/>
      <c r="J42" s="8"/>
      <c r="K42" s="8"/>
      <c r="L42" s="8"/>
      <c r="M42" s="8" t="s">
        <v>196</v>
      </c>
      <c r="N42" s="8" t="s">
        <v>332</v>
      </c>
    </row>
    <row r="43" customFormat="false" ht="15" hidden="false" customHeight="false" outlineLevel="0" collapsed="false">
      <c r="A43" s="8" t="s">
        <v>333</v>
      </c>
      <c r="B43" s="11"/>
      <c r="C43" s="11"/>
      <c r="D43" s="11"/>
      <c r="E43" s="8" t="s">
        <v>334</v>
      </c>
      <c r="F43" s="8"/>
      <c r="G43" s="8"/>
      <c r="H43" s="8"/>
      <c r="I43" s="8"/>
      <c r="J43" s="8"/>
      <c r="K43" s="8"/>
      <c r="L43" s="8"/>
      <c r="M43" s="8" t="s">
        <v>196</v>
      </c>
      <c r="N43" s="8" t="s">
        <v>335</v>
      </c>
    </row>
    <row r="44" customFormat="false" ht="15" hidden="false" customHeight="false" outlineLevel="0" collapsed="false">
      <c r="A44" s="8" t="s">
        <v>336</v>
      </c>
      <c r="B44" s="11"/>
      <c r="C44" s="11"/>
      <c r="D44" s="11"/>
      <c r="E44" s="8" t="s">
        <v>337</v>
      </c>
      <c r="F44" s="8"/>
      <c r="G44" s="8"/>
      <c r="H44" s="8"/>
      <c r="I44" s="8"/>
      <c r="J44" s="8"/>
      <c r="K44" s="8"/>
      <c r="L44" s="8"/>
      <c r="M44" s="8" t="s">
        <v>196</v>
      </c>
      <c r="N44" s="8" t="s">
        <v>338</v>
      </c>
    </row>
    <row r="45" customFormat="false" ht="15" hidden="false" customHeight="false" outlineLevel="0" collapsed="false">
      <c r="A45" s="8" t="s">
        <v>339</v>
      </c>
      <c r="B45" s="11"/>
      <c r="C45" s="11"/>
      <c r="D45" s="11"/>
      <c r="E45" s="8" t="s">
        <v>197</v>
      </c>
      <c r="F45" s="8"/>
      <c r="G45" s="8"/>
      <c r="H45" s="8"/>
      <c r="I45" s="8"/>
      <c r="J45" s="8"/>
      <c r="K45" s="8"/>
      <c r="L45" s="8"/>
      <c r="M45" s="8" t="s">
        <v>196</v>
      </c>
      <c r="N45" s="8" t="s">
        <v>340</v>
      </c>
    </row>
    <row r="46" customFormat="false" ht="15" hidden="false" customHeight="false" outlineLevel="0" collapsed="false">
      <c r="A46" s="8" t="s">
        <v>341</v>
      </c>
      <c r="B46" s="11"/>
      <c r="C46" s="11"/>
      <c r="D46" s="11"/>
      <c r="E46" s="8" t="s">
        <v>342</v>
      </c>
      <c r="F46" s="8"/>
      <c r="G46" s="8"/>
      <c r="H46" s="8"/>
      <c r="I46" s="8"/>
      <c r="J46" s="8"/>
      <c r="K46" s="8"/>
      <c r="L46" s="8"/>
      <c r="M46" s="8" t="s">
        <v>196</v>
      </c>
      <c r="N46" s="8" t="s">
        <v>343</v>
      </c>
    </row>
    <row r="47" customFormat="false" ht="15" hidden="false" customHeight="false" outlineLevel="0" collapsed="false">
      <c r="A47" s="8" t="s">
        <v>344</v>
      </c>
      <c r="B47" s="11"/>
      <c r="C47" s="11"/>
      <c r="D47" s="11"/>
      <c r="E47" s="8" t="s">
        <v>345</v>
      </c>
      <c r="F47" s="8"/>
      <c r="G47" s="8"/>
      <c r="H47" s="8"/>
      <c r="I47" s="8"/>
      <c r="J47" s="8"/>
      <c r="K47" s="8"/>
      <c r="L47" s="8"/>
      <c r="M47" s="8" t="s">
        <v>196</v>
      </c>
      <c r="N47" s="8" t="s">
        <v>346</v>
      </c>
    </row>
    <row r="48" customFormat="false" ht="15" hidden="false" customHeight="false" outlineLevel="0" collapsed="false">
      <c r="A48" s="8" t="s">
        <v>347</v>
      </c>
      <c r="B48" s="11"/>
      <c r="C48" s="11"/>
      <c r="D48" s="11"/>
      <c r="E48" s="8" t="s">
        <v>348</v>
      </c>
      <c r="F48" s="8"/>
      <c r="G48" s="8"/>
      <c r="H48" s="8"/>
      <c r="I48" s="8"/>
      <c r="J48" s="8"/>
      <c r="K48" s="8"/>
      <c r="L48" s="8"/>
      <c r="M48" s="8" t="s">
        <v>196</v>
      </c>
      <c r="N48" s="8" t="s">
        <v>349</v>
      </c>
    </row>
    <row r="49" customFormat="false" ht="15" hidden="false" customHeight="false" outlineLevel="0" collapsed="false">
      <c r="A49" s="8" t="s">
        <v>350</v>
      </c>
      <c r="B49" s="11"/>
      <c r="C49" s="11"/>
      <c r="D49" s="11"/>
      <c r="E49" s="8" t="s">
        <v>351</v>
      </c>
      <c r="F49" s="8"/>
      <c r="G49" s="8"/>
      <c r="H49" s="8"/>
      <c r="I49" s="8"/>
      <c r="J49" s="8"/>
      <c r="K49" s="8"/>
      <c r="L49" s="8"/>
      <c r="M49" s="8" t="s">
        <v>196</v>
      </c>
      <c r="N49" s="8" t="s">
        <v>352</v>
      </c>
    </row>
    <row r="50" customFormat="false" ht="15" hidden="false" customHeight="false" outlineLevel="0" collapsed="false">
      <c r="A50" s="8" t="s">
        <v>353</v>
      </c>
      <c r="B50" s="11"/>
      <c r="C50" s="11"/>
      <c r="D50" s="11"/>
      <c r="E50" s="8" t="s">
        <v>354</v>
      </c>
      <c r="F50" s="8"/>
      <c r="G50" s="8"/>
      <c r="H50" s="8"/>
      <c r="I50" s="8"/>
      <c r="J50" s="8"/>
      <c r="K50" s="8"/>
      <c r="L50" s="8"/>
      <c r="M50" s="8" t="s">
        <v>196</v>
      </c>
      <c r="N50" s="8" t="s">
        <v>352</v>
      </c>
    </row>
    <row r="51" customFormat="false" ht="15" hidden="false" customHeight="false" outlineLevel="0" collapsed="false">
      <c r="A51" s="8" t="s">
        <v>355</v>
      </c>
      <c r="B51" s="11"/>
      <c r="C51" s="11"/>
      <c r="D51" s="11"/>
      <c r="E51" s="8" t="s">
        <v>356</v>
      </c>
      <c r="F51" s="8"/>
      <c r="G51" s="8"/>
      <c r="H51" s="8"/>
      <c r="I51" s="8"/>
      <c r="J51" s="8"/>
      <c r="K51" s="8"/>
      <c r="L51" s="8"/>
      <c r="M51" s="8" t="s">
        <v>196</v>
      </c>
      <c r="N51" s="8" t="s">
        <v>357</v>
      </c>
    </row>
    <row r="52" customFormat="false" ht="15" hidden="false" customHeight="false" outlineLevel="0" collapsed="false">
      <c r="A52" s="8" t="s">
        <v>358</v>
      </c>
      <c r="B52" s="11"/>
      <c r="C52" s="11"/>
      <c r="D52" s="11"/>
      <c r="E52" s="8" t="s">
        <v>359</v>
      </c>
      <c r="F52" s="8"/>
      <c r="G52" s="8"/>
      <c r="H52" s="8"/>
      <c r="I52" s="8"/>
      <c r="J52" s="8"/>
      <c r="K52" s="8"/>
      <c r="L52" s="8"/>
      <c r="M52" s="8" t="s">
        <v>196</v>
      </c>
      <c r="N52" s="8" t="s">
        <v>360</v>
      </c>
    </row>
    <row r="53" customFormat="false" ht="15" hidden="false" customHeight="false" outlineLevel="0" collapsed="false">
      <c r="A53" s="8" t="s">
        <v>361</v>
      </c>
      <c r="B53" s="11"/>
      <c r="C53" s="11"/>
      <c r="D53" s="11"/>
      <c r="E53" s="8" t="s">
        <v>362</v>
      </c>
      <c r="F53" s="8"/>
      <c r="G53" s="8"/>
      <c r="H53" s="8"/>
      <c r="I53" s="8"/>
      <c r="J53" s="8"/>
      <c r="K53" s="8"/>
      <c r="L53" s="8"/>
      <c r="M53" s="8" t="s">
        <v>196</v>
      </c>
      <c r="N53" s="8" t="s">
        <v>363</v>
      </c>
    </row>
    <row r="54" customFormat="false" ht="15" hidden="false" customHeight="false" outlineLevel="0" collapsed="false">
      <c r="A54" s="8" t="s">
        <v>364</v>
      </c>
      <c r="B54" s="11"/>
      <c r="C54" s="11"/>
      <c r="D54" s="11"/>
      <c r="E54" s="8" t="s">
        <v>365</v>
      </c>
      <c r="F54" s="8"/>
      <c r="G54" s="8"/>
      <c r="H54" s="8"/>
      <c r="I54" s="8"/>
      <c r="J54" s="8"/>
      <c r="K54" s="8"/>
      <c r="L54" s="8"/>
      <c r="M54" s="8" t="s">
        <v>196</v>
      </c>
      <c r="N54" s="8" t="s">
        <v>366</v>
      </c>
    </row>
    <row r="55" customFormat="false" ht="15" hidden="false" customHeight="false" outlineLevel="0" collapsed="false">
      <c r="A55" s="8" t="s">
        <v>367</v>
      </c>
      <c r="B55" s="11"/>
      <c r="C55" s="11"/>
      <c r="D55" s="11"/>
      <c r="E55" s="8" t="s">
        <v>368</v>
      </c>
      <c r="F55" s="8"/>
      <c r="G55" s="8"/>
      <c r="H55" s="8"/>
      <c r="I55" s="8"/>
      <c r="J55" s="8"/>
      <c r="K55" s="8"/>
      <c r="L55" s="8"/>
      <c r="M55" s="8" t="s">
        <v>196</v>
      </c>
      <c r="N55" s="8" t="s">
        <v>369</v>
      </c>
    </row>
  </sheetData>
  <dataValidations count="2">
    <dataValidation allowBlank="true" errorStyle="stop" operator="between" showDropDown="false" showErrorMessage="false" showInputMessage="false" sqref="F2:F55" type="list">
      <formula1>"CLT,PJ"</formula1>
      <formula2>0</formula2>
    </dataValidation>
    <dataValidation allowBlank="true" errorStyle="stop" operator="between" showDropDown="false" showErrorMessage="false" showInputMessage="false" sqref="M2:M55" type="list">
      <formula1>"Ativo,Inativo,A_CONFIRMAR"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12"/>
    <col collapsed="false" customWidth="true" hidden="false" outlineLevel="0" max="5" min="5" style="0" width="45"/>
    <col collapsed="false" customWidth="true" hidden="false" outlineLevel="0" max="6" min="6" style="0" width="22"/>
    <col collapsed="false" customWidth="true" hidden="false" outlineLevel="0" max="8" min="7" style="0" width="13"/>
    <col collapsed="false" customWidth="true" hidden="false" outlineLevel="0" max="9" min="9" style="0" width="16"/>
  </cols>
  <sheetData>
    <row r="1" customFormat="false" ht="30" hidden="false" customHeight="true" outlineLevel="0" collapsed="false">
      <c r="A1" s="5" t="s">
        <v>370</v>
      </c>
      <c r="B1" s="5" t="s">
        <v>211</v>
      </c>
      <c r="C1" s="5" t="s">
        <v>371</v>
      </c>
      <c r="D1" s="5" t="s">
        <v>20</v>
      </c>
      <c r="E1" s="5" t="s">
        <v>372</v>
      </c>
      <c r="F1" s="5" t="s">
        <v>373</v>
      </c>
      <c r="G1" s="5" t="s">
        <v>374</v>
      </c>
      <c r="H1" s="5" t="s">
        <v>375</v>
      </c>
      <c r="I1" s="5" t="s">
        <v>376</v>
      </c>
    </row>
    <row r="2" customFormat="false" ht="15" hidden="false" customHeight="false" outlineLevel="0" collapsed="false">
      <c r="A2" s="6" t="s">
        <v>377</v>
      </c>
      <c r="B2" s="6" t="s">
        <v>217</v>
      </c>
      <c r="C2" s="12" t="str">
        <f aca="false">IFERROR(INDEX(Colaboradores!$E:$E,MATCH(B2,Colaboradores!$A:$A,0)),"")</f>
        <v>ADEILSON FRAGOSO LEAL</v>
      </c>
      <c r="D2" s="6" t="s">
        <v>33</v>
      </c>
      <c r="E2" s="12" t="str">
        <f aca="false">IFERROR(INDEX(Empresas!$D:$D,MATCH(D2,Empresas!$A:$A,0)),"")</f>
        <v>56.112.624 ADEILSON FRAGOSO LEAL</v>
      </c>
      <c r="F2" s="6"/>
      <c r="G2" s="6"/>
      <c r="H2" s="6"/>
      <c r="I2" s="6" t="s">
        <v>378</v>
      </c>
    </row>
    <row r="3" customFormat="false" ht="15" hidden="false" customHeight="false" outlineLevel="0" collapsed="false">
      <c r="A3" s="6" t="s">
        <v>379</v>
      </c>
      <c r="B3" s="6" t="s">
        <v>221</v>
      </c>
      <c r="C3" s="12" t="str">
        <f aca="false">IFERROR(INDEX(Colaboradores!$E:$E,MATCH(B3,Colaboradores!$A:$A,0)),"")</f>
        <v>SILVIO SCHURT</v>
      </c>
      <c r="D3" s="6" t="s">
        <v>43</v>
      </c>
      <c r="E3" s="12" t="str">
        <f aca="false">IFERROR(INDEX(Empresas!$D:$D,MATCH(D3,Empresas!$A:$A,0)),"")</f>
        <v>60.536.286 SILVIO SCHURT</v>
      </c>
      <c r="F3" s="6"/>
      <c r="G3" s="6"/>
      <c r="H3" s="6"/>
      <c r="I3" s="6" t="s">
        <v>378</v>
      </c>
    </row>
    <row r="4" customFormat="false" ht="15" hidden="false" customHeight="false" outlineLevel="0" collapsed="false">
      <c r="A4" s="6" t="s">
        <v>380</v>
      </c>
      <c r="B4" s="6" t="s">
        <v>223</v>
      </c>
      <c r="C4" s="12" t="str">
        <f aca="false">IFERROR(INDEX(Colaboradores!$E:$E,MATCH(B4,Colaboradores!$A:$A,0)),"")</f>
        <v>GABRIEL SCHURT</v>
      </c>
      <c r="D4" s="6" t="s">
        <v>52</v>
      </c>
      <c r="E4" s="12" t="str">
        <f aca="false">IFERROR(INDEX(Empresas!$D:$D,MATCH(D4,Empresas!$A:$A,0)),"")</f>
        <v>60.555.952 GABRIEL SCHURT</v>
      </c>
      <c r="F4" s="6"/>
      <c r="G4" s="6"/>
      <c r="H4" s="6"/>
      <c r="I4" s="6" t="s">
        <v>378</v>
      </c>
    </row>
    <row r="5" customFormat="false" ht="15" hidden="false" customHeight="false" outlineLevel="0" collapsed="false">
      <c r="A5" s="6" t="s">
        <v>381</v>
      </c>
      <c r="B5" s="6" t="s">
        <v>228</v>
      </c>
      <c r="C5" s="12" t="str">
        <f aca="false">IFERROR(INDEX(Colaboradores!$E:$E,MATCH(B5,Colaboradores!$A:$A,0)),"")</f>
        <v>ANTONIO DA SILVA PALACIOS</v>
      </c>
      <c r="D5" s="6" t="s">
        <v>60</v>
      </c>
      <c r="E5" s="12" t="str">
        <f aca="false">IFERROR(INDEX(Empresas!$D:$D,MATCH(D5,Empresas!$A:$A,0)),"")</f>
        <v>AMAZON PESA SERVICOS LTDA</v>
      </c>
      <c r="F5" s="6"/>
      <c r="G5" s="6"/>
      <c r="H5" s="6"/>
      <c r="I5" s="6" t="s">
        <v>378</v>
      </c>
    </row>
    <row r="6" customFormat="false" ht="15" hidden="false" customHeight="false" outlineLevel="0" collapsed="false">
      <c r="A6" s="6" t="s">
        <v>382</v>
      </c>
      <c r="B6" s="6" t="s">
        <v>231</v>
      </c>
      <c r="C6" s="12" t="str">
        <f aca="false">IFERROR(INDEX(Colaboradores!$E:$E,MATCH(B6,Colaboradores!$A:$A,0)),"")</f>
        <v>SERGIO MARCOS LEONCIO</v>
      </c>
      <c r="D6" s="6" t="s">
        <v>60</v>
      </c>
      <c r="E6" s="12" t="str">
        <f aca="false">IFERROR(INDEX(Empresas!$D:$D,MATCH(D6,Empresas!$A:$A,0)),"")</f>
        <v>AMAZON PESA SERVICOS LTDA</v>
      </c>
      <c r="F6" s="6"/>
      <c r="G6" s="6"/>
      <c r="H6" s="6"/>
      <c r="I6" s="6" t="s">
        <v>378</v>
      </c>
    </row>
    <row r="7" customFormat="false" ht="15" hidden="false" customHeight="false" outlineLevel="0" collapsed="false">
      <c r="A7" s="6" t="s">
        <v>383</v>
      </c>
      <c r="B7" s="6" t="s">
        <v>234</v>
      </c>
      <c r="C7" s="12" t="str">
        <f aca="false">IFERROR(INDEX(Colaboradores!$E:$E,MATCH(B7,Colaboradores!$A:$A,0)),"")</f>
        <v>SIDNEY ALVES DOS SANTOS</v>
      </c>
      <c r="D7" s="6" t="s">
        <v>60</v>
      </c>
      <c r="E7" s="12" t="str">
        <f aca="false">IFERROR(INDEX(Empresas!$D:$D,MATCH(D7,Empresas!$A:$A,0)),"")</f>
        <v>AMAZON PESA SERVICOS LTDA</v>
      </c>
      <c r="F7" s="6"/>
      <c r="G7" s="6"/>
      <c r="H7" s="6"/>
      <c r="I7" s="6" t="s">
        <v>378</v>
      </c>
    </row>
    <row r="8" customFormat="false" ht="15" hidden="false" customHeight="false" outlineLevel="0" collapsed="false">
      <c r="A8" s="6" t="s">
        <v>384</v>
      </c>
      <c r="B8" s="6" t="s">
        <v>237</v>
      </c>
      <c r="C8" s="12" t="str">
        <f aca="false">IFERROR(INDEX(Colaboradores!$E:$E,MATCH(B8,Colaboradores!$A:$A,0)),"")</f>
        <v>ANTONIO MARCOS DOS SANTOS</v>
      </c>
      <c r="D8" s="6" t="s">
        <v>69</v>
      </c>
      <c r="E8" s="12" t="str">
        <f aca="false">IFERROR(INDEX(Empresas!$D:$D,MATCH(D8,Empresas!$A:$A,0)),"")</f>
        <v>66.166.474 ANTONIO MARCOS DOS SANTOS</v>
      </c>
      <c r="F8" s="6"/>
      <c r="G8" s="6"/>
      <c r="H8" s="6"/>
      <c r="I8" s="6" t="s">
        <v>378</v>
      </c>
    </row>
    <row r="9" customFormat="false" ht="15" hidden="false" customHeight="false" outlineLevel="0" collapsed="false">
      <c r="A9" s="6" t="s">
        <v>385</v>
      </c>
      <c r="B9" s="6" t="s">
        <v>241</v>
      </c>
      <c r="C9" s="12" t="str">
        <f aca="false">IFERROR(INDEX(Colaboradores!$E:$E,MATCH(B9,Colaboradores!$A:$A,0)),"")</f>
        <v>DANIEL SCHURT</v>
      </c>
      <c r="D9" s="6" t="s">
        <v>77</v>
      </c>
      <c r="E9" s="12" t="str">
        <f aca="false">IFERROR(INDEX(Empresas!$D:$D,MATCH(D9,Empresas!$A:$A,0)),"")</f>
        <v>DHS ELEVADORES LTDA</v>
      </c>
      <c r="F9" s="6"/>
      <c r="G9" s="6"/>
      <c r="H9" s="6"/>
      <c r="I9" s="6" t="s">
        <v>378</v>
      </c>
    </row>
    <row r="10" customFormat="false" ht="15" hidden="false" customHeight="false" outlineLevel="0" collapsed="false">
      <c r="A10" s="6" t="s">
        <v>386</v>
      </c>
      <c r="B10" s="6" t="s">
        <v>243</v>
      </c>
      <c r="C10" s="12" t="str">
        <f aca="false">IFERROR(INDEX(Colaboradores!$E:$E,MATCH(B10,Colaboradores!$A:$A,0)),"")</f>
        <v>ELISEU BALSALOBRE</v>
      </c>
      <c r="D10" s="6" t="s">
        <v>85</v>
      </c>
      <c r="E10" s="12" t="str">
        <f aca="false">IFERROR(INDEX(Empresas!$D:$D,MATCH(D10,Empresas!$A:$A,0)),"")</f>
        <v>ERTEX ESCADAS E ESTEIRAS ROLANTES LTDA</v>
      </c>
      <c r="F10" s="6"/>
      <c r="G10" s="6"/>
      <c r="H10" s="6"/>
      <c r="I10" s="6" t="s">
        <v>378</v>
      </c>
    </row>
    <row r="11" customFormat="false" ht="15" hidden="false" customHeight="false" outlineLevel="0" collapsed="false">
      <c r="A11" s="6" t="s">
        <v>387</v>
      </c>
      <c r="B11" s="6" t="s">
        <v>245</v>
      </c>
      <c r="C11" s="12" t="str">
        <f aca="false">IFERROR(INDEX(Colaboradores!$E:$E,MATCH(B11,Colaboradores!$A:$A,0)),"")</f>
        <v>ERNANDO LOPES VIANA DA SILVA</v>
      </c>
      <c r="D11" s="6" t="s">
        <v>85</v>
      </c>
      <c r="E11" s="12" t="str">
        <f aca="false">IFERROR(INDEX(Empresas!$D:$D,MATCH(D11,Empresas!$A:$A,0)),"")</f>
        <v>ERTEX ESCADAS E ESTEIRAS ROLANTES LTDA</v>
      </c>
      <c r="F11" s="6"/>
      <c r="G11" s="6"/>
      <c r="H11" s="6"/>
      <c r="I11" s="6" t="s">
        <v>378</v>
      </c>
    </row>
    <row r="12" customFormat="false" ht="15" hidden="false" customHeight="false" outlineLevel="0" collapsed="false">
      <c r="A12" s="6" t="s">
        <v>388</v>
      </c>
      <c r="B12" s="6" t="s">
        <v>249</v>
      </c>
      <c r="C12" s="12" t="str">
        <f aca="false">IFERROR(INDEX(Colaboradores!$E:$E,MATCH(B12,Colaboradores!$A:$A,0)),"")</f>
        <v>ISMAEL BEREZZA LOPES</v>
      </c>
      <c r="D12" s="6" t="s">
        <v>85</v>
      </c>
      <c r="E12" s="12" t="str">
        <f aca="false">IFERROR(INDEX(Empresas!$D:$D,MATCH(D12,Empresas!$A:$A,0)),"")</f>
        <v>ERTEX ESCADAS E ESTEIRAS ROLANTES LTDA</v>
      </c>
      <c r="F12" s="6"/>
      <c r="G12" s="6"/>
      <c r="H12" s="6"/>
      <c r="I12" s="6" t="s">
        <v>378</v>
      </c>
    </row>
    <row r="13" customFormat="false" ht="15" hidden="false" customHeight="false" outlineLevel="0" collapsed="false">
      <c r="A13" s="6" t="s">
        <v>389</v>
      </c>
      <c r="B13" s="6" t="s">
        <v>253</v>
      </c>
      <c r="C13" s="12" t="str">
        <f aca="false">IFERROR(INDEX(Colaboradores!$E:$E,MATCH(B13,Colaboradores!$A:$A,0)),"")</f>
        <v>FERNANDO PAVANE MASSEI</v>
      </c>
      <c r="D13" s="6" t="s">
        <v>122</v>
      </c>
      <c r="E13" s="12" t="str">
        <f aca="false">IFERROR(INDEX(Empresas!$D:$D,MATCH(D13,Empresas!$A:$A,0)),"")</f>
        <v>FERNANDO PAVANE MASSEI ELEVADORES</v>
      </c>
      <c r="F13" s="6"/>
      <c r="G13" s="6"/>
      <c r="H13" s="6"/>
      <c r="I13" s="6" t="s">
        <v>378</v>
      </c>
    </row>
    <row r="14" customFormat="false" ht="15" hidden="false" customHeight="false" outlineLevel="0" collapsed="false">
      <c r="A14" s="6" t="s">
        <v>390</v>
      </c>
      <c r="B14" s="6" t="s">
        <v>255</v>
      </c>
      <c r="C14" s="12" t="str">
        <f aca="false">IFERROR(INDEX(Colaboradores!$E:$E,MATCH(B14,Colaboradores!$A:$A,0)),"")</f>
        <v>RICARDO SEVERINO DA SILVA</v>
      </c>
      <c r="D14" s="6" t="s">
        <v>129</v>
      </c>
      <c r="E14" s="12" t="str">
        <f aca="false">IFERROR(INDEX(Empresas!$D:$D,MATCH(D14,Empresas!$A:$A,0)),"")</f>
        <v>LR GRUP ELEVADORES LTDA</v>
      </c>
      <c r="F14" s="6"/>
      <c r="G14" s="6"/>
      <c r="H14" s="6"/>
      <c r="I14" s="6" t="s">
        <v>378</v>
      </c>
    </row>
    <row r="15" customFormat="false" ht="15" hidden="false" customHeight="false" outlineLevel="0" collapsed="false">
      <c r="A15" s="6" t="s">
        <v>391</v>
      </c>
      <c r="B15" s="6" t="s">
        <v>258</v>
      </c>
      <c r="C15" s="12" t="str">
        <f aca="false">IFERROR(INDEX(Colaboradores!$E:$E,MATCH(B15,Colaboradores!$A:$A,0)),"")</f>
        <v>CARLOS ALBERTO CARVALHO DA SILVA</v>
      </c>
      <c r="D15" s="6" t="s">
        <v>137</v>
      </c>
      <c r="E15" s="12" t="str">
        <f aca="false">IFERROR(INDEX(Empresas!$D:$D,MATCH(D15,Empresas!$A:$A,0)),"")</f>
        <v>LUCIANA MENGALI CARVALHO DA SILVA 32204975869</v>
      </c>
      <c r="F15" s="6"/>
      <c r="G15" s="6"/>
      <c r="H15" s="6"/>
      <c r="I15" s="6" t="s">
        <v>378</v>
      </c>
    </row>
    <row r="16" customFormat="false" ht="15" hidden="false" customHeight="false" outlineLevel="0" collapsed="false">
      <c r="A16" s="6" t="s">
        <v>392</v>
      </c>
      <c r="B16" s="6" t="s">
        <v>261</v>
      </c>
      <c r="C16" s="12" t="str">
        <f aca="false">IFERROR(INDEX(Colaboradores!$E:$E,MATCH(B16,Colaboradores!$A:$A,0)),"")</f>
        <v>KAUA WENDEL MENGALI DOMINGOS</v>
      </c>
      <c r="D16" s="6" t="s">
        <v>137</v>
      </c>
      <c r="E16" s="12" t="str">
        <f aca="false">IFERROR(INDEX(Empresas!$D:$D,MATCH(D16,Empresas!$A:$A,0)),"")</f>
        <v>LUCIANA MENGALI CARVALHO DA SILVA 32204975869</v>
      </c>
      <c r="F16" s="6"/>
      <c r="G16" s="6"/>
      <c r="H16" s="6"/>
      <c r="I16" s="6" t="s">
        <v>378</v>
      </c>
    </row>
    <row r="17" customFormat="false" ht="15" hidden="false" customHeight="false" outlineLevel="0" collapsed="false">
      <c r="A17" s="6" t="s">
        <v>393</v>
      </c>
      <c r="B17" s="6" t="s">
        <v>265</v>
      </c>
      <c r="C17" s="12" t="str">
        <f aca="false">IFERROR(INDEX(Colaboradores!$E:$E,MATCH(B17,Colaboradores!$A:$A,0)),"")</f>
        <v>LUIZ CARLOS JANUARIO DE LAIA</v>
      </c>
      <c r="D17" s="6" t="s">
        <v>146</v>
      </c>
      <c r="E17" s="12" t="str">
        <f aca="false">IFERROR(INDEX(Empresas!$D:$D,MATCH(D17,Empresas!$A:$A,0)),"")</f>
        <v>51.570.098 LUIZ CARLOS JANUARIO DE LAIA</v>
      </c>
      <c r="F17" s="6"/>
      <c r="G17" s="6"/>
      <c r="H17" s="6"/>
      <c r="I17" s="6" t="s">
        <v>378</v>
      </c>
    </row>
    <row r="18" customFormat="false" ht="15" hidden="false" customHeight="false" outlineLevel="0" collapsed="false">
      <c r="A18" s="6" t="s">
        <v>394</v>
      </c>
      <c r="B18" s="6" t="s">
        <v>267</v>
      </c>
      <c r="C18" s="12" t="str">
        <f aca="false">IFERROR(INDEX(Colaboradores!$E:$E,MATCH(B18,Colaboradores!$A:$A,0)),"")</f>
        <v>LUIS FERNANDO BUENO DE CAMARGO</v>
      </c>
      <c r="D18" s="6" t="s">
        <v>153</v>
      </c>
      <c r="E18" s="12" t="str">
        <f aca="false">IFERROR(INDEX(Empresas!$D:$D,MATCH(D18,Empresas!$A:$A,0)),"")</f>
        <v>34.794.316 LUIS FERNANDO BUENO DE CAMARGO</v>
      </c>
      <c r="F18" s="6"/>
      <c r="G18" s="6"/>
      <c r="H18" s="6"/>
      <c r="I18" s="6" t="s">
        <v>378</v>
      </c>
    </row>
    <row r="19" customFormat="false" ht="15" hidden="false" customHeight="false" outlineLevel="0" collapsed="false">
      <c r="A19" s="6" t="s">
        <v>395</v>
      </c>
      <c r="B19" s="6" t="s">
        <v>269</v>
      </c>
      <c r="C19" s="12" t="str">
        <f aca="false">IFERROR(INDEX(Colaboradores!$E:$E,MATCH(B19,Colaboradores!$A:$A,0)),"")</f>
        <v>FABIO LEANDRO DE FREITAS ASSIS</v>
      </c>
      <c r="D19" s="6" t="s">
        <v>161</v>
      </c>
      <c r="E19" s="12" t="str">
        <f aca="false">IFERROR(INDEX(Empresas!$D:$D,MATCH(D19,Empresas!$A:$A,0)),"")</f>
        <v>NEXT FLOOR LTDA</v>
      </c>
      <c r="F19" s="6"/>
      <c r="G19" s="6"/>
      <c r="H19" s="6"/>
      <c r="I19" s="6" t="s">
        <v>378</v>
      </c>
    </row>
    <row r="20" customFormat="false" ht="15" hidden="false" customHeight="false" outlineLevel="0" collapsed="false">
      <c r="A20" s="6" t="s">
        <v>396</v>
      </c>
      <c r="B20" s="6" t="s">
        <v>271</v>
      </c>
      <c r="C20" s="12" t="str">
        <f aca="false">IFERROR(INDEX(Colaboradores!$E:$E,MATCH(B20,Colaboradores!$A:$A,0)),"")</f>
        <v>ANDERSON DA SILVA</v>
      </c>
      <c r="D20" s="6" t="s">
        <v>171</v>
      </c>
      <c r="E20" s="12" t="str">
        <f aca="false">IFERROR(INDEX(Empresas!$D:$D,MATCH(D20,Empresas!$A:$A,0)),"")</f>
        <v>OLIVER ELEVADORES LTDA</v>
      </c>
      <c r="F20" s="6"/>
      <c r="G20" s="6"/>
      <c r="H20" s="6"/>
      <c r="I20" s="6" t="s">
        <v>378</v>
      </c>
    </row>
    <row r="21" customFormat="false" ht="15" hidden="false" customHeight="false" outlineLevel="0" collapsed="false">
      <c r="A21" s="6" t="s">
        <v>397</v>
      </c>
      <c r="B21" s="6" t="s">
        <v>276</v>
      </c>
      <c r="C21" s="12" t="str">
        <f aca="false">IFERROR(INDEX(Colaboradores!$E:$E,MATCH(B21,Colaboradores!$A:$A,0)),"")</f>
        <v>WALISON TANDI AZEVEDO DE OLIVEIRA MELO</v>
      </c>
      <c r="D21" s="6" t="s">
        <v>171</v>
      </c>
      <c r="E21" s="12" t="str">
        <f aca="false">IFERROR(INDEX(Empresas!$D:$D,MATCH(D21,Empresas!$A:$A,0)),"")</f>
        <v>OLIVER ELEVADORES LTDA</v>
      </c>
      <c r="F21" s="6"/>
      <c r="G21" s="6"/>
      <c r="H21" s="6"/>
      <c r="I21" s="6" t="s">
        <v>378</v>
      </c>
    </row>
    <row r="22" customFormat="false" ht="15" hidden="false" customHeight="false" outlineLevel="0" collapsed="false">
      <c r="A22" s="6" t="s">
        <v>398</v>
      </c>
      <c r="B22" s="6" t="s">
        <v>279</v>
      </c>
      <c r="C22" s="12" t="str">
        <f aca="false">IFERROR(INDEX(Colaboradores!$E:$E,MATCH(B22,Colaboradores!$A:$A,0)),"")</f>
        <v>AGOSTINHO GONCALVES CORDEIRO</v>
      </c>
      <c r="D22" s="6" t="s">
        <v>178</v>
      </c>
      <c r="E22" s="12" t="str">
        <f aca="false">IFERROR(INDEX(Empresas!$D:$D,MATCH(D22,Empresas!$A:$A,0)),"")</f>
        <v>RICARDO MANOEL INACIO</v>
      </c>
      <c r="F22" s="6"/>
      <c r="G22" s="6"/>
      <c r="H22" s="6"/>
      <c r="I22" s="6" t="s">
        <v>378</v>
      </c>
    </row>
    <row r="23" customFormat="false" ht="15" hidden="false" customHeight="false" outlineLevel="0" collapsed="false">
      <c r="A23" s="6" t="s">
        <v>399</v>
      </c>
      <c r="B23" s="6" t="s">
        <v>281</v>
      </c>
      <c r="C23" s="12" t="str">
        <f aca="false">IFERROR(INDEX(Colaboradores!$E:$E,MATCH(B23,Colaboradores!$A:$A,0)),"")</f>
        <v>FRANCISCO DE ASSIS SANTOS NASCIMENTO</v>
      </c>
      <c r="D23" s="6" t="s">
        <v>178</v>
      </c>
      <c r="E23" s="12" t="str">
        <f aca="false">IFERROR(INDEX(Empresas!$D:$D,MATCH(D23,Empresas!$A:$A,0)),"")</f>
        <v>RICARDO MANOEL INACIO</v>
      </c>
      <c r="F23" s="6"/>
      <c r="G23" s="6"/>
      <c r="H23" s="6"/>
      <c r="I23" s="6" t="s">
        <v>378</v>
      </c>
    </row>
    <row r="24" customFormat="false" ht="15" hidden="false" customHeight="false" outlineLevel="0" collapsed="false">
      <c r="A24" s="6" t="s">
        <v>400</v>
      </c>
      <c r="B24" s="6" t="s">
        <v>283</v>
      </c>
      <c r="C24" s="12" t="str">
        <f aca="false">IFERROR(INDEX(Colaboradores!$E:$E,MATCH(B24,Colaboradores!$A:$A,0)),"")</f>
        <v>JOAO PAULO BATISTA DOS SANTOS</v>
      </c>
      <c r="D24" s="6" t="s">
        <v>178</v>
      </c>
      <c r="E24" s="12" t="str">
        <f aca="false">IFERROR(INDEX(Empresas!$D:$D,MATCH(D24,Empresas!$A:$A,0)),"")</f>
        <v>RICARDO MANOEL INACIO</v>
      </c>
      <c r="F24" s="6"/>
      <c r="G24" s="6"/>
      <c r="H24" s="6"/>
      <c r="I24" s="6" t="s">
        <v>378</v>
      </c>
    </row>
    <row r="25" customFormat="false" ht="15" hidden="false" customHeight="false" outlineLevel="0" collapsed="false">
      <c r="A25" s="6" t="s">
        <v>401</v>
      </c>
      <c r="B25" s="6" t="s">
        <v>285</v>
      </c>
      <c r="C25" s="12" t="str">
        <f aca="false">IFERROR(INDEX(Colaboradores!$E:$E,MATCH(B25,Colaboradores!$A:$A,0)),"")</f>
        <v>RICARDO MANOEL INACIO</v>
      </c>
      <c r="D25" s="6" t="s">
        <v>178</v>
      </c>
      <c r="E25" s="12" t="str">
        <f aca="false">IFERROR(INDEX(Empresas!$D:$D,MATCH(D25,Empresas!$A:$A,0)),"")</f>
        <v>RICARDO MANOEL INACIO</v>
      </c>
      <c r="F25" s="6"/>
      <c r="G25" s="6"/>
      <c r="H25" s="6"/>
      <c r="I25" s="6" t="s">
        <v>378</v>
      </c>
    </row>
    <row r="26" customFormat="false" ht="15" hidden="false" customHeight="false" outlineLevel="0" collapsed="false">
      <c r="A26" s="6" t="s">
        <v>402</v>
      </c>
      <c r="B26" s="6" t="s">
        <v>286</v>
      </c>
      <c r="C26" s="12" t="str">
        <f aca="false">IFERROR(INDEX(Colaboradores!$E:$E,MATCH(B26,Colaboradores!$A:$A,0)),"")</f>
        <v>SAMUEL VICENTE NAZARO DA SILVA</v>
      </c>
      <c r="D26" s="6" t="s">
        <v>178</v>
      </c>
      <c r="E26" s="12" t="str">
        <f aca="false">IFERROR(INDEX(Empresas!$D:$D,MATCH(D26,Empresas!$A:$A,0)),"")</f>
        <v>RICARDO MANOEL INACIO</v>
      </c>
      <c r="F26" s="6"/>
      <c r="G26" s="6"/>
      <c r="H26" s="6"/>
      <c r="I26" s="6" t="s">
        <v>378</v>
      </c>
    </row>
    <row r="27" customFormat="false" ht="15" hidden="false" customHeight="false" outlineLevel="0" collapsed="false">
      <c r="A27" s="6" t="s">
        <v>403</v>
      </c>
      <c r="B27" s="6" t="s">
        <v>288</v>
      </c>
      <c r="C27" s="12" t="str">
        <f aca="false">IFERROR(INDEX(Colaboradores!$E:$E,MATCH(B27,Colaboradores!$A:$A,0)),"")</f>
        <v>JOAO MARIA CANDIDO DE OLIVEIRA</v>
      </c>
      <c r="D27" s="6" t="s">
        <v>185</v>
      </c>
      <c r="E27" s="12" t="str">
        <f aca="false">IFERROR(INDEX(Empresas!$D:$D,MATCH(D27,Empresas!$A:$A,0)),"")</f>
        <v>RN SCAL SERVICOS LTDA</v>
      </c>
      <c r="F27" s="6"/>
      <c r="G27" s="6"/>
      <c r="H27" s="6"/>
      <c r="I27" s="6" t="s">
        <v>378</v>
      </c>
    </row>
    <row r="28" customFormat="false" ht="15" hidden="false" customHeight="false" outlineLevel="0" collapsed="false">
      <c r="A28" s="6" t="s">
        <v>404</v>
      </c>
      <c r="B28" s="6" t="s">
        <v>291</v>
      </c>
      <c r="C28" s="12" t="str">
        <f aca="false">IFERROR(INDEX(Colaboradores!$E:$E,MATCH(B28,Colaboradores!$A:$A,0)),"")</f>
        <v>MANOEL SEVERO NETO</v>
      </c>
      <c r="D28" s="6" t="s">
        <v>185</v>
      </c>
      <c r="E28" s="12" t="str">
        <f aca="false">IFERROR(INDEX(Empresas!$D:$D,MATCH(D28,Empresas!$A:$A,0)),"")</f>
        <v>RN SCAL SERVICOS LTDA</v>
      </c>
      <c r="F28" s="6"/>
      <c r="G28" s="6"/>
      <c r="H28" s="6"/>
      <c r="I28" s="6" t="s">
        <v>378</v>
      </c>
    </row>
    <row r="29" customFormat="false" ht="15" hidden="false" customHeight="false" outlineLevel="0" collapsed="false">
      <c r="A29" s="6" t="s">
        <v>405</v>
      </c>
      <c r="B29" s="6" t="s">
        <v>294</v>
      </c>
      <c r="C29" s="12" t="str">
        <f aca="false">IFERROR(INDEX(Colaboradores!$E:$E,MATCH(B29,Colaboradores!$A:$A,0)),"")</f>
        <v>RAFAEL PEREIRA DE LIMA</v>
      </c>
      <c r="D29" s="6" t="s">
        <v>185</v>
      </c>
      <c r="E29" s="12" t="str">
        <f aca="false">IFERROR(INDEX(Empresas!$D:$D,MATCH(D29,Empresas!$A:$A,0)),"")</f>
        <v>RN SCAL SERVICOS LTDA</v>
      </c>
      <c r="F29" s="6"/>
      <c r="G29" s="6"/>
      <c r="H29" s="6"/>
      <c r="I29" s="6" t="s">
        <v>378</v>
      </c>
    </row>
    <row r="30" customFormat="false" ht="15" hidden="false" customHeight="false" outlineLevel="0" collapsed="false">
      <c r="A30" s="6" t="s">
        <v>406</v>
      </c>
      <c r="B30" s="6" t="s">
        <v>297</v>
      </c>
      <c r="C30" s="12" t="str">
        <f aca="false">IFERROR(INDEX(Colaboradores!$E:$E,MATCH(B30,Colaboradores!$A:$A,0)),"")</f>
        <v>ANDERSON CARLOS DE SOUSA DA SILVA</v>
      </c>
      <c r="D30" s="6" t="s">
        <v>113</v>
      </c>
      <c r="E30" s="12" t="str">
        <f aca="false">IFERROR(INDEX(Empresas!$D:$D,MATCH(D30,Empresas!$A:$A,0)),"")</f>
        <v>ESCAMAX MANUTENCAO DE EQUIPAMENTOS DE MOBILIDADE LTDA</v>
      </c>
      <c r="F30" s="6"/>
      <c r="G30" s="6"/>
      <c r="H30" s="6"/>
      <c r="I30" s="6" t="s">
        <v>378</v>
      </c>
    </row>
    <row r="31" customFormat="false" ht="15" hidden="false" customHeight="false" outlineLevel="0" collapsed="false">
      <c r="A31" s="6" t="s">
        <v>407</v>
      </c>
      <c r="B31" s="6" t="s">
        <v>299</v>
      </c>
      <c r="C31" s="12" t="str">
        <f aca="false">IFERROR(INDEX(Colaboradores!$E:$E,MATCH(B31,Colaboradores!$A:$A,0)),"")</f>
        <v>AVANY MAIA DOS REIS</v>
      </c>
      <c r="D31" s="6" t="s">
        <v>113</v>
      </c>
      <c r="E31" s="12" t="str">
        <f aca="false">IFERROR(INDEX(Empresas!$D:$D,MATCH(D31,Empresas!$A:$A,0)),"")</f>
        <v>ESCAMAX MANUTENCAO DE EQUIPAMENTOS DE MOBILIDADE LTDA</v>
      </c>
      <c r="F31" s="6"/>
      <c r="G31" s="6"/>
      <c r="H31" s="6"/>
      <c r="I31" s="6" t="s">
        <v>378</v>
      </c>
    </row>
    <row r="32" customFormat="false" ht="15" hidden="false" customHeight="false" outlineLevel="0" collapsed="false">
      <c r="A32" s="6" t="s">
        <v>408</v>
      </c>
      <c r="B32" s="6" t="s">
        <v>302</v>
      </c>
      <c r="C32" s="12" t="str">
        <f aca="false">IFERROR(INDEX(Colaboradores!$E:$E,MATCH(B32,Colaboradores!$A:$A,0)),"")</f>
        <v>BELION FELIPE FERNANDES CORREIA</v>
      </c>
      <c r="D32" s="6" t="s">
        <v>113</v>
      </c>
      <c r="E32" s="12" t="str">
        <f aca="false">IFERROR(INDEX(Empresas!$D:$D,MATCH(D32,Empresas!$A:$A,0)),"")</f>
        <v>ESCAMAX MANUTENCAO DE EQUIPAMENTOS DE MOBILIDADE LTDA</v>
      </c>
      <c r="F32" s="6"/>
      <c r="G32" s="6"/>
      <c r="H32" s="6"/>
      <c r="I32" s="6" t="s">
        <v>378</v>
      </c>
    </row>
    <row r="33" customFormat="false" ht="15" hidden="false" customHeight="false" outlineLevel="0" collapsed="false">
      <c r="A33" s="6" t="s">
        <v>409</v>
      </c>
      <c r="B33" s="6" t="s">
        <v>305</v>
      </c>
      <c r="C33" s="12" t="str">
        <f aca="false">IFERROR(INDEX(Colaboradores!$E:$E,MATCH(B33,Colaboradores!$A:$A,0)),"")</f>
        <v>CARLOS JORGE DA SILVA</v>
      </c>
      <c r="D33" s="6" t="s">
        <v>113</v>
      </c>
      <c r="E33" s="12" t="str">
        <f aca="false">IFERROR(INDEX(Empresas!$D:$D,MATCH(D33,Empresas!$A:$A,0)),"")</f>
        <v>ESCAMAX MANUTENCAO DE EQUIPAMENTOS DE MOBILIDADE LTDA</v>
      </c>
      <c r="F33" s="6"/>
      <c r="G33" s="6"/>
      <c r="H33" s="6"/>
      <c r="I33" s="6" t="s">
        <v>378</v>
      </c>
    </row>
    <row r="34" customFormat="false" ht="15" hidden="false" customHeight="false" outlineLevel="0" collapsed="false">
      <c r="A34" s="6" t="s">
        <v>410</v>
      </c>
      <c r="B34" s="6" t="s">
        <v>308</v>
      </c>
      <c r="C34" s="12" t="str">
        <f aca="false">IFERROR(INDEX(Colaboradores!$E:$E,MATCH(B34,Colaboradores!$A:$A,0)),"")</f>
        <v>DANIEL APARECIDO DOS REIS FELICIANO</v>
      </c>
      <c r="D34" s="6" t="s">
        <v>113</v>
      </c>
      <c r="E34" s="12" t="str">
        <f aca="false">IFERROR(INDEX(Empresas!$D:$D,MATCH(D34,Empresas!$A:$A,0)),"")</f>
        <v>ESCAMAX MANUTENCAO DE EQUIPAMENTOS DE MOBILIDADE LTDA</v>
      </c>
      <c r="F34" s="6"/>
      <c r="G34" s="6"/>
      <c r="H34" s="6"/>
      <c r="I34" s="6" t="s">
        <v>378</v>
      </c>
    </row>
    <row r="35" customFormat="false" ht="15" hidden="false" customHeight="false" outlineLevel="0" collapsed="false">
      <c r="A35" s="6" t="s">
        <v>411</v>
      </c>
      <c r="B35" s="6" t="s">
        <v>311</v>
      </c>
      <c r="C35" s="12" t="str">
        <f aca="false">IFERROR(INDEX(Colaboradores!$E:$E,MATCH(B35,Colaboradores!$A:$A,0)),"")</f>
        <v>ELSON RICARDO BATISTA PINTO</v>
      </c>
      <c r="D35" s="6" t="s">
        <v>113</v>
      </c>
      <c r="E35" s="12" t="str">
        <f aca="false">IFERROR(INDEX(Empresas!$D:$D,MATCH(D35,Empresas!$A:$A,0)),"")</f>
        <v>ESCAMAX MANUTENCAO DE EQUIPAMENTOS DE MOBILIDADE LTDA</v>
      </c>
      <c r="F35" s="6"/>
      <c r="G35" s="6"/>
      <c r="H35" s="6"/>
      <c r="I35" s="6" t="s">
        <v>378</v>
      </c>
    </row>
    <row r="36" customFormat="false" ht="15" hidden="false" customHeight="false" outlineLevel="0" collapsed="false">
      <c r="A36" s="6" t="s">
        <v>412</v>
      </c>
      <c r="B36" s="6" t="s">
        <v>313</v>
      </c>
      <c r="C36" s="12" t="str">
        <f aca="false">IFERROR(INDEX(Colaboradores!$E:$E,MATCH(B36,Colaboradores!$A:$A,0)),"")</f>
        <v>EVERTON VICTOR SANTOS PEREIRA</v>
      </c>
      <c r="D36" s="6" t="s">
        <v>113</v>
      </c>
      <c r="E36" s="12" t="str">
        <f aca="false">IFERROR(INDEX(Empresas!$D:$D,MATCH(D36,Empresas!$A:$A,0)),"")</f>
        <v>ESCAMAX MANUTENCAO DE EQUIPAMENTOS DE MOBILIDADE LTDA</v>
      </c>
      <c r="F36" s="6"/>
      <c r="G36" s="6"/>
      <c r="H36" s="6"/>
      <c r="I36" s="6" t="s">
        <v>378</v>
      </c>
    </row>
    <row r="37" customFormat="false" ht="15" hidden="false" customHeight="false" outlineLevel="0" collapsed="false">
      <c r="A37" s="6" t="s">
        <v>413</v>
      </c>
      <c r="B37" s="6" t="s">
        <v>316</v>
      </c>
      <c r="C37" s="12" t="str">
        <f aca="false">IFERROR(INDEX(Colaboradores!$E:$E,MATCH(B37,Colaboradores!$A:$A,0)),"")</f>
        <v>GUSTAVO RODRIGUES DE AZEVEDO</v>
      </c>
      <c r="D37" s="6" t="s">
        <v>113</v>
      </c>
      <c r="E37" s="12" t="str">
        <f aca="false">IFERROR(INDEX(Empresas!$D:$D,MATCH(D37,Empresas!$A:$A,0)),"")</f>
        <v>ESCAMAX MANUTENCAO DE EQUIPAMENTOS DE MOBILIDADE LTDA</v>
      </c>
      <c r="F37" s="6"/>
      <c r="G37" s="6"/>
      <c r="H37" s="6"/>
      <c r="I37" s="6" t="s">
        <v>378</v>
      </c>
    </row>
    <row r="38" customFormat="false" ht="15" hidden="false" customHeight="false" outlineLevel="0" collapsed="false">
      <c r="A38" s="6" t="s">
        <v>414</v>
      </c>
      <c r="B38" s="6" t="s">
        <v>319</v>
      </c>
      <c r="C38" s="12" t="str">
        <f aca="false">IFERROR(INDEX(Colaboradores!$E:$E,MATCH(B38,Colaboradores!$A:$A,0)),"")</f>
        <v>MARTHOS VINICIO FERREIRA RAMOS</v>
      </c>
      <c r="D38" s="6" t="s">
        <v>113</v>
      </c>
      <c r="E38" s="12" t="str">
        <f aca="false">IFERROR(INDEX(Empresas!$D:$D,MATCH(D38,Empresas!$A:$A,0)),"")</f>
        <v>ESCAMAX MANUTENCAO DE EQUIPAMENTOS DE MOBILIDADE LTDA</v>
      </c>
      <c r="F38" s="6"/>
      <c r="G38" s="6"/>
      <c r="H38" s="6"/>
      <c r="I38" s="6" t="s">
        <v>378</v>
      </c>
    </row>
    <row r="39" customFormat="false" ht="15" hidden="false" customHeight="false" outlineLevel="0" collapsed="false">
      <c r="A39" s="6" t="s">
        <v>415</v>
      </c>
      <c r="B39" s="6" t="s">
        <v>321</v>
      </c>
      <c r="C39" s="12" t="str">
        <f aca="false">IFERROR(INDEX(Colaboradores!$E:$E,MATCH(B39,Colaboradores!$A:$A,0)),"")</f>
        <v>MATHEUS MOTA RIBEIRO</v>
      </c>
      <c r="D39" s="6" t="s">
        <v>113</v>
      </c>
      <c r="E39" s="12" t="str">
        <f aca="false">IFERROR(INDEX(Empresas!$D:$D,MATCH(D39,Empresas!$A:$A,0)),"")</f>
        <v>ESCAMAX MANUTENCAO DE EQUIPAMENTOS DE MOBILIDADE LTDA</v>
      </c>
      <c r="F39" s="6"/>
      <c r="G39" s="6"/>
      <c r="H39" s="6"/>
      <c r="I39" s="6" t="s">
        <v>378</v>
      </c>
    </row>
    <row r="40" customFormat="false" ht="15" hidden="false" customHeight="false" outlineLevel="0" collapsed="false">
      <c r="A40" s="6" t="s">
        <v>416</v>
      </c>
      <c r="B40" s="6" t="s">
        <v>324</v>
      </c>
      <c r="C40" s="12" t="str">
        <f aca="false">IFERROR(INDEX(Colaboradores!$E:$E,MATCH(B40,Colaboradores!$A:$A,0)),"")</f>
        <v>PAULO CESAR ALVES DA SILVA</v>
      </c>
      <c r="D40" s="6" t="s">
        <v>113</v>
      </c>
      <c r="E40" s="12" t="str">
        <f aca="false">IFERROR(INDEX(Empresas!$D:$D,MATCH(D40,Empresas!$A:$A,0)),"")</f>
        <v>ESCAMAX MANUTENCAO DE EQUIPAMENTOS DE MOBILIDADE LTDA</v>
      </c>
      <c r="F40" s="6"/>
      <c r="G40" s="6"/>
      <c r="H40" s="6"/>
      <c r="I40" s="6" t="s">
        <v>378</v>
      </c>
    </row>
    <row r="41" customFormat="false" ht="15" hidden="false" customHeight="false" outlineLevel="0" collapsed="false">
      <c r="A41" s="6" t="s">
        <v>417</v>
      </c>
      <c r="B41" s="6" t="s">
        <v>327</v>
      </c>
      <c r="C41" s="12" t="str">
        <f aca="false">IFERROR(INDEX(Colaboradores!$E:$E,MATCH(B41,Colaboradores!$A:$A,0)),"")</f>
        <v>YOANDERSON COSTA DOS SANTOS</v>
      </c>
      <c r="D41" s="6" t="s">
        <v>113</v>
      </c>
      <c r="E41" s="12" t="str">
        <f aca="false">IFERROR(INDEX(Empresas!$D:$D,MATCH(D41,Empresas!$A:$A,0)),"")</f>
        <v>ESCAMAX MANUTENCAO DE EQUIPAMENTOS DE MOBILIDADE LTDA</v>
      </c>
      <c r="F41" s="6"/>
      <c r="G41" s="6"/>
      <c r="H41" s="6"/>
      <c r="I41" s="6" t="s">
        <v>378</v>
      </c>
    </row>
    <row r="42" customFormat="false" ht="15" hidden="false" customHeight="false" outlineLevel="0" collapsed="false">
      <c r="A42" s="6" t="s">
        <v>418</v>
      </c>
      <c r="B42" s="6" t="s">
        <v>330</v>
      </c>
      <c r="C42" s="12" t="str">
        <f aca="false">IFERROR(INDEX(Colaboradores!$E:$E,MATCH(B42,Colaboradores!$A:$A,0)),"")</f>
        <v>GABRIEL SCHURT (proprietario)</v>
      </c>
      <c r="D42" s="6" t="s">
        <v>52</v>
      </c>
      <c r="E42" s="12" t="str">
        <f aca="false">IFERROR(INDEX(Empresas!$D:$D,MATCH(D42,Empresas!$A:$A,0)),"")</f>
        <v>60.555.952 GABRIEL SCHURT</v>
      </c>
      <c r="F42" s="6"/>
      <c r="G42" s="6"/>
      <c r="H42" s="6"/>
      <c r="I42" s="6" t="s">
        <v>378</v>
      </c>
    </row>
    <row r="43" customFormat="false" ht="15" hidden="false" customHeight="false" outlineLevel="0" collapsed="false">
      <c r="A43" s="6" t="s">
        <v>419</v>
      </c>
      <c r="B43" s="6" t="s">
        <v>333</v>
      </c>
      <c r="C43" s="12" t="str">
        <f aca="false">IFERROR(INDEX(Colaboradores!$E:$E,MATCH(B43,Colaboradores!$A:$A,0)),"")</f>
        <v>MARCIO MARTINS</v>
      </c>
      <c r="D43" s="6" t="s">
        <v>153</v>
      </c>
      <c r="E43" s="12" t="str">
        <f aca="false">IFERROR(INDEX(Empresas!$D:$D,MATCH(D43,Empresas!$A:$A,0)),"")</f>
        <v>34.794.316 LUIS FERNANDO BUENO DE CAMARGO</v>
      </c>
      <c r="F43" s="6"/>
      <c r="G43" s="6"/>
      <c r="H43" s="6"/>
      <c r="I43" s="6" t="s">
        <v>378</v>
      </c>
    </row>
    <row r="44" customFormat="false" ht="15" hidden="false" customHeight="false" outlineLevel="0" collapsed="false">
      <c r="A44" s="6" t="s">
        <v>420</v>
      </c>
      <c r="B44" s="6" t="s">
        <v>336</v>
      </c>
      <c r="C44" s="12" t="str">
        <f aca="false">IFERROR(INDEX(Colaboradores!$E:$E,MATCH(B44,Colaboradores!$A:$A,0)),"")</f>
        <v>EDINALDO DOS SANTOS</v>
      </c>
      <c r="D44" s="6" t="s">
        <v>199</v>
      </c>
      <c r="E44" s="12" t="str">
        <f aca="false">IFERROR(INDEX(Empresas!$D:$D,MATCH(D44,Empresas!$A:$A,0)),"")</f>
        <v>MOSQUITO ESCADAS E ESTEIRAS ROLANTES</v>
      </c>
      <c r="F44" s="6"/>
      <c r="G44" s="6"/>
      <c r="H44" s="6"/>
      <c r="I44" s="6" t="s">
        <v>378</v>
      </c>
    </row>
    <row r="45" customFormat="false" ht="15" hidden="false" customHeight="false" outlineLevel="0" collapsed="false">
      <c r="A45" s="6" t="s">
        <v>421</v>
      </c>
      <c r="B45" s="6" t="s">
        <v>339</v>
      </c>
      <c r="C45" s="12" t="str">
        <f aca="false">IFERROR(INDEX(Colaboradores!$E:$E,MATCH(B45,Colaboradores!$A:$A,0)),"")</f>
        <v>GUILHERME BITENCOURT DE FREITAS</v>
      </c>
      <c r="D45" s="6" t="s">
        <v>195</v>
      </c>
      <c r="E45" s="12" t="str">
        <f aca="false">IFERROR(INDEX(Empresas!$D:$D,MATCH(D45,Empresas!$A:$A,0)),"")</f>
        <v>GUILHERME BITENCOURT DE FREITAS</v>
      </c>
      <c r="F45" s="6"/>
      <c r="G45" s="6"/>
      <c r="H45" s="6"/>
      <c r="I45" s="6" t="s">
        <v>378</v>
      </c>
    </row>
    <row r="46" customFormat="false" ht="15" hidden="false" customHeight="false" outlineLevel="0" collapsed="false">
      <c r="A46" s="6" t="s">
        <v>422</v>
      </c>
      <c r="B46" s="6" t="s">
        <v>341</v>
      </c>
      <c r="C46" s="12" t="str">
        <f aca="false">IFERROR(INDEX(Colaboradores!$E:$E,MATCH(B46,Colaboradores!$A:$A,0)),"")</f>
        <v>DINHO</v>
      </c>
      <c r="D46" s="6" t="s">
        <v>185</v>
      </c>
      <c r="E46" s="12" t="str">
        <f aca="false">IFERROR(INDEX(Empresas!$D:$D,MATCH(D46,Empresas!$A:$A,0)),"")</f>
        <v>RN SCAL SERVICOS LTDA</v>
      </c>
      <c r="F46" s="6"/>
      <c r="G46" s="6"/>
      <c r="H46" s="6"/>
      <c r="I46" s="6" t="s">
        <v>378</v>
      </c>
    </row>
    <row r="47" customFormat="false" ht="15" hidden="false" customHeight="false" outlineLevel="0" collapsed="false">
      <c r="A47" s="6" t="s">
        <v>423</v>
      </c>
      <c r="B47" s="6" t="s">
        <v>344</v>
      </c>
      <c r="C47" s="12" t="str">
        <f aca="false">IFERROR(INDEX(Colaboradores!$E:$E,MATCH(B47,Colaboradores!$A:$A,0)),"")</f>
        <v>PAULO SILVA</v>
      </c>
      <c r="D47" s="6" t="s">
        <v>185</v>
      </c>
      <c r="E47" s="12" t="str">
        <f aca="false">IFERROR(INDEX(Empresas!$D:$D,MATCH(D47,Empresas!$A:$A,0)),"")</f>
        <v>RN SCAL SERVICOS LTDA</v>
      </c>
      <c r="F47" s="6"/>
      <c r="G47" s="6"/>
      <c r="H47" s="6"/>
      <c r="I47" s="6" t="s">
        <v>378</v>
      </c>
    </row>
    <row r="48" customFormat="false" ht="15" hidden="false" customHeight="false" outlineLevel="0" collapsed="false">
      <c r="A48" s="6" t="s">
        <v>424</v>
      </c>
      <c r="B48" s="6" t="s">
        <v>347</v>
      </c>
      <c r="C48" s="12" t="str">
        <f aca="false">IFERROR(INDEX(Colaboradores!$E:$E,MATCH(B48,Colaboradores!$A:$A,0)),"")</f>
        <v>DENILSON ABREU</v>
      </c>
      <c r="D48" s="6" t="s">
        <v>185</v>
      </c>
      <c r="E48" s="12" t="str">
        <f aca="false">IFERROR(INDEX(Empresas!$D:$D,MATCH(D48,Empresas!$A:$A,0)),"")</f>
        <v>RN SCAL SERVICOS LTDA</v>
      </c>
      <c r="F48" s="6"/>
      <c r="G48" s="6"/>
      <c r="H48" s="6"/>
      <c r="I48" s="6" t="s">
        <v>378</v>
      </c>
    </row>
    <row r="49" customFormat="false" ht="15" hidden="false" customHeight="false" outlineLevel="0" collapsed="false">
      <c r="A49" s="6" t="s">
        <v>425</v>
      </c>
      <c r="B49" s="6" t="s">
        <v>350</v>
      </c>
      <c r="C49" s="12" t="str">
        <f aca="false">IFERROR(INDEX(Colaboradores!$E:$E,MATCH(B49,Colaboradores!$A:$A,0)),"")</f>
        <v>JOSUE SANTOS</v>
      </c>
      <c r="D49" s="6" t="s">
        <v>185</v>
      </c>
      <c r="E49" s="12" t="str">
        <f aca="false">IFERROR(INDEX(Empresas!$D:$D,MATCH(D49,Empresas!$A:$A,0)),"")</f>
        <v>RN SCAL SERVICOS LTDA</v>
      </c>
      <c r="F49" s="6"/>
      <c r="G49" s="6"/>
      <c r="H49" s="6"/>
      <c r="I49" s="6" t="s">
        <v>378</v>
      </c>
    </row>
    <row r="50" customFormat="false" ht="15" hidden="false" customHeight="false" outlineLevel="0" collapsed="false">
      <c r="A50" s="6" t="s">
        <v>426</v>
      </c>
      <c r="B50" s="6" t="s">
        <v>353</v>
      </c>
      <c r="C50" s="12" t="str">
        <f aca="false">IFERROR(INDEX(Colaboradores!$E:$E,MATCH(B50,Colaboradores!$A:$A,0)),"")</f>
        <v>MARCELO SANTOS</v>
      </c>
      <c r="D50" s="6" t="s">
        <v>185</v>
      </c>
      <c r="E50" s="12" t="str">
        <f aca="false">IFERROR(INDEX(Empresas!$D:$D,MATCH(D50,Empresas!$A:$A,0)),"")</f>
        <v>RN SCAL SERVICOS LTDA</v>
      </c>
      <c r="F50" s="6"/>
      <c r="G50" s="6"/>
      <c r="H50" s="6"/>
      <c r="I50" s="6" t="s">
        <v>378</v>
      </c>
    </row>
    <row r="51" customFormat="false" ht="15" hidden="false" customHeight="false" outlineLevel="0" collapsed="false">
      <c r="A51" s="6" t="s">
        <v>427</v>
      </c>
      <c r="B51" s="6" t="s">
        <v>355</v>
      </c>
      <c r="C51" s="12" t="str">
        <f aca="false">IFERROR(INDEX(Colaboradores!$E:$E,MATCH(B51,Colaboradores!$A:$A,0)),"")</f>
        <v>LUCAS FRANCO</v>
      </c>
      <c r="D51" s="6" t="s">
        <v>202</v>
      </c>
      <c r="E51" s="12" t="str">
        <f aca="false">IFERROR(INDEX(Empresas!$D:$D,MATCH(D51,Empresas!$A:$A,0)),"")</f>
        <v>VDR MONTAGENS LTDA</v>
      </c>
      <c r="F51" s="6"/>
      <c r="G51" s="6"/>
      <c r="H51" s="6"/>
      <c r="I51" s="6" t="s">
        <v>378</v>
      </c>
    </row>
    <row r="52" customFormat="false" ht="15" hidden="false" customHeight="false" outlineLevel="0" collapsed="false">
      <c r="A52" s="6" t="s">
        <v>428</v>
      </c>
      <c r="B52" s="6" t="s">
        <v>358</v>
      </c>
      <c r="C52" s="12" t="str">
        <f aca="false">IFERROR(INDEX(Colaboradores!$E:$E,MATCH(B52,Colaboradores!$A:$A,0)),"")</f>
        <v>CLEITON NAVAS</v>
      </c>
      <c r="D52" s="6" t="s">
        <v>205</v>
      </c>
      <c r="E52" s="12" t="str">
        <f aca="false">IFERROR(INDEX(Empresas!$D:$D,MATCH(D52,Empresas!$A:$A,0)),"")</f>
        <v>VERTICAL TECH ELEVADORES LTDA</v>
      </c>
      <c r="F52" s="6"/>
      <c r="G52" s="6"/>
      <c r="H52" s="6"/>
      <c r="I52" s="6" t="s">
        <v>378</v>
      </c>
    </row>
    <row r="53" customFormat="false" ht="15" hidden="false" customHeight="false" outlineLevel="0" collapsed="false">
      <c r="A53" s="6" t="s">
        <v>429</v>
      </c>
      <c r="B53" s="6" t="s">
        <v>361</v>
      </c>
      <c r="C53" s="12" t="str">
        <f aca="false">IFERROR(INDEX(Colaboradores!$E:$E,MATCH(B53,Colaboradores!$A:$A,0)),"")</f>
        <v>GESSE BATISTA</v>
      </c>
      <c r="D53" s="6" t="s">
        <v>208</v>
      </c>
      <c r="E53" s="12" t="str">
        <f aca="false">IFERROR(INDEX(Empresas!$D:$D,MATCH(D53,Empresas!$A:$A,0)),"")</f>
        <v>VERTICALPARTS</v>
      </c>
      <c r="F53" s="6"/>
      <c r="G53" s="6"/>
      <c r="H53" s="6"/>
      <c r="I53" s="6" t="s">
        <v>378</v>
      </c>
    </row>
    <row r="54" customFormat="false" ht="15" hidden="false" customHeight="false" outlineLevel="0" collapsed="false">
      <c r="A54" s="6" t="s">
        <v>430</v>
      </c>
      <c r="B54" s="6" t="s">
        <v>364</v>
      </c>
      <c r="C54" s="12" t="str">
        <f aca="false">IFERROR(INDEX(Colaboradores!$E:$E,MATCH(B54,Colaboradores!$A:$A,0)),"")</f>
        <v>MAURICIO SANCHEZ</v>
      </c>
      <c r="D54" s="6" t="s">
        <v>208</v>
      </c>
      <c r="E54" s="12" t="str">
        <f aca="false">IFERROR(INDEX(Empresas!$D:$D,MATCH(D54,Empresas!$A:$A,0)),"")</f>
        <v>VERTICALPARTS</v>
      </c>
      <c r="F54" s="6"/>
      <c r="G54" s="6"/>
      <c r="H54" s="6"/>
      <c r="I54" s="6" t="s">
        <v>378</v>
      </c>
    </row>
    <row r="55" customFormat="false" ht="15" hidden="false" customHeight="false" outlineLevel="0" collapsed="false">
      <c r="A55" s="6" t="s">
        <v>431</v>
      </c>
      <c r="B55" s="6" t="s">
        <v>367</v>
      </c>
      <c r="C55" s="12" t="str">
        <f aca="false">IFERROR(INDEX(Colaboradores!$E:$E,MATCH(B55,Colaboradores!$A:$A,0)),"")</f>
        <v>VINICIUS RAMOS</v>
      </c>
      <c r="D55" s="6" t="s">
        <v>208</v>
      </c>
      <c r="E55" s="12" t="str">
        <f aca="false">IFERROR(INDEX(Empresas!$D:$D,MATCH(D55,Empresas!$A:$A,0)),"")</f>
        <v>VERTICALPARTS</v>
      </c>
      <c r="F55" s="6"/>
      <c r="G55" s="6"/>
      <c r="H55" s="6"/>
      <c r="I55" s="6" t="s">
        <v>378</v>
      </c>
    </row>
  </sheetData>
  <dataValidations count="1">
    <dataValidation allowBlank="true" errorStyle="stop" operator="between" showDropDown="false" showErrorMessage="false" showInputMessage="false" sqref="I2:I55" type="list">
      <formula1>"SIM,NAO"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8"/>
    <col collapsed="false" customWidth="true" hidden="false" outlineLevel="0" max="3" min="3" style="0" width="60"/>
  </cols>
  <sheetData>
    <row r="1" customFormat="false" ht="30" hidden="false" customHeight="true" outlineLevel="0" collapsed="false">
      <c r="A1" s="5" t="s">
        <v>432</v>
      </c>
      <c r="B1" s="5" t="s">
        <v>433</v>
      </c>
      <c r="C1" s="5" t="s">
        <v>32</v>
      </c>
    </row>
    <row r="2" customFormat="false" ht="15" hidden="false" customHeight="false" outlineLevel="0" collapsed="false">
      <c r="A2" s="6" t="s">
        <v>434</v>
      </c>
      <c r="B2" s="6" t="s">
        <v>435</v>
      </c>
      <c r="C2" s="6" t="s">
        <v>436</v>
      </c>
    </row>
    <row r="3" customFormat="false" ht="15" hidden="false" customHeight="false" outlineLevel="0" collapsed="false">
      <c r="A3" s="6" t="s">
        <v>437</v>
      </c>
      <c r="B3" s="6" t="s">
        <v>438</v>
      </c>
      <c r="C3" s="6"/>
    </row>
    <row r="4" customFormat="false" ht="15" hidden="false" customHeight="false" outlineLevel="0" collapsed="false">
      <c r="A4" s="6" t="s">
        <v>439</v>
      </c>
      <c r="B4" s="6" t="s">
        <v>440</v>
      </c>
      <c r="C4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4" min="4" style="0" width="35"/>
    <col collapsed="false" customWidth="true" hidden="false" outlineLevel="0" max="5" min="5" style="0" width="14"/>
    <col collapsed="false" customWidth="true" hidden="false" outlineLevel="0" max="9" min="6" style="0" width="15"/>
    <col collapsed="false" customWidth="true" hidden="false" outlineLevel="0" max="10" min="10" style="0" width="45"/>
  </cols>
  <sheetData>
    <row r="1" customFormat="false" ht="30" hidden="false" customHeight="true" outlineLevel="0" collapsed="false">
      <c r="A1" s="5" t="s">
        <v>441</v>
      </c>
      <c r="B1" s="5" t="s">
        <v>433</v>
      </c>
      <c r="C1" s="5" t="s">
        <v>442</v>
      </c>
      <c r="D1" s="5" t="s">
        <v>443</v>
      </c>
      <c r="E1" s="5" t="s">
        <v>31</v>
      </c>
      <c r="F1" s="5" t="s">
        <v>444</v>
      </c>
      <c r="G1" s="5" t="s">
        <v>445</v>
      </c>
      <c r="H1" s="5" t="s">
        <v>446</v>
      </c>
      <c r="I1" s="5" t="s">
        <v>447</v>
      </c>
      <c r="J1" s="5" t="s">
        <v>32</v>
      </c>
    </row>
    <row r="2" customFormat="false" ht="15" hidden="false" customHeight="false" outlineLevel="0" collapsed="false">
      <c r="A2" s="7" t="s">
        <v>448</v>
      </c>
      <c r="B2" s="7" t="s">
        <v>449</v>
      </c>
      <c r="C2" s="7"/>
      <c r="D2" s="7"/>
      <c r="E2" s="7" t="s">
        <v>196</v>
      </c>
      <c r="F2" s="13"/>
      <c r="G2" s="13"/>
      <c r="H2" s="13"/>
      <c r="I2" s="13"/>
      <c r="J2" s="7" t="s">
        <v>450</v>
      </c>
    </row>
    <row r="3" customFormat="false" ht="15" hidden="false" customHeight="false" outlineLevel="0" collapsed="false">
      <c r="A3" s="7" t="s">
        <v>451</v>
      </c>
      <c r="B3" s="7" t="s">
        <v>452</v>
      </c>
      <c r="C3" s="7"/>
      <c r="D3" s="7"/>
      <c r="E3" s="7" t="s">
        <v>196</v>
      </c>
      <c r="F3" s="13"/>
      <c r="G3" s="13"/>
      <c r="H3" s="13"/>
      <c r="I3" s="13"/>
      <c r="J3" s="7" t="s">
        <v>453</v>
      </c>
    </row>
    <row r="4" customFormat="false" ht="15" hidden="false" customHeight="false" outlineLevel="0" collapsed="false">
      <c r="A4" s="7" t="s">
        <v>454</v>
      </c>
      <c r="B4" s="7" t="s">
        <v>455</v>
      </c>
      <c r="C4" s="7"/>
      <c r="D4" s="7"/>
      <c r="E4" s="7" t="s">
        <v>196</v>
      </c>
      <c r="F4" s="13"/>
      <c r="G4" s="13"/>
      <c r="H4" s="13"/>
      <c r="I4" s="13"/>
      <c r="J4" s="7" t="s">
        <v>456</v>
      </c>
    </row>
    <row r="5" customFormat="false" ht="15" hidden="false" customHeight="false" outlineLevel="0" collapsed="false">
      <c r="A5" s="7" t="s">
        <v>457</v>
      </c>
      <c r="B5" s="7" t="s">
        <v>458</v>
      </c>
      <c r="C5" s="7"/>
      <c r="D5" s="7"/>
      <c r="E5" s="7" t="s">
        <v>196</v>
      </c>
      <c r="F5" s="13"/>
      <c r="G5" s="13"/>
      <c r="H5" s="13"/>
      <c r="I5" s="13"/>
      <c r="J5" s="7" t="s">
        <v>459</v>
      </c>
    </row>
    <row r="6" customFormat="false" ht="15" hidden="false" customHeight="false" outlineLevel="0" collapsed="false">
      <c r="A6" s="7" t="s">
        <v>460</v>
      </c>
      <c r="B6" s="7" t="s">
        <v>461</v>
      </c>
      <c r="C6" s="7"/>
      <c r="D6" s="7"/>
      <c r="E6" s="7" t="s">
        <v>196</v>
      </c>
      <c r="F6" s="13"/>
      <c r="G6" s="13"/>
      <c r="H6" s="13"/>
      <c r="I6" s="13"/>
      <c r="J6" s="7" t="s">
        <v>462</v>
      </c>
    </row>
    <row r="7" customFormat="false" ht="15" hidden="false" customHeight="false" outlineLevel="0" collapsed="false">
      <c r="A7" s="7" t="s">
        <v>463</v>
      </c>
      <c r="B7" s="7" t="s">
        <v>464</v>
      </c>
      <c r="C7" s="7"/>
      <c r="D7" s="7"/>
      <c r="E7" s="7" t="s">
        <v>196</v>
      </c>
      <c r="F7" s="13"/>
      <c r="G7" s="13"/>
      <c r="H7" s="13"/>
      <c r="I7" s="13"/>
      <c r="J7" s="7" t="s">
        <v>465</v>
      </c>
    </row>
  </sheetData>
  <dataValidations count="1">
    <dataValidation allowBlank="true" errorStyle="stop" operator="between" showDropDown="false" showErrorMessage="false" showInputMessage="false" sqref="E2:E7" type="list">
      <formula1>"A_CONFIRMAR,Planejada,Em andamento,Atrasada,Concluida,Paralisada"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45"/>
    <col collapsed="false" customWidth="true" hidden="false" outlineLevel="0" max="6" min="6" style="0" width="16"/>
    <col collapsed="false" customWidth="true" hidden="false" outlineLevel="0" max="7" min="7" style="0" width="45"/>
  </cols>
  <sheetData>
    <row r="1" customFormat="false" ht="30" hidden="false" customHeight="true" outlineLevel="0" collapsed="false">
      <c r="A1" s="5" t="s">
        <v>466</v>
      </c>
      <c r="B1" s="5" t="s">
        <v>441</v>
      </c>
      <c r="C1" s="5" t="s">
        <v>467</v>
      </c>
      <c r="D1" s="5" t="s">
        <v>20</v>
      </c>
      <c r="E1" s="5" t="s">
        <v>468</v>
      </c>
      <c r="F1" s="5" t="s">
        <v>469</v>
      </c>
      <c r="G1" s="5" t="s">
        <v>32</v>
      </c>
    </row>
    <row r="2" customFormat="false" ht="15" hidden="false" customHeight="false" outlineLevel="0" collapsed="false">
      <c r="A2" s="6" t="s">
        <v>470</v>
      </c>
      <c r="B2" s="6" t="s">
        <v>454</v>
      </c>
      <c r="C2" s="12" t="str">
        <f aca="false">IFERROR(INDEX(Obras!$B:$B,MATCH(B2,Obras!$A:$A,0)),"")</f>
        <v>Hospital SC</v>
      </c>
      <c r="D2" s="6" t="s">
        <v>43</v>
      </c>
      <c r="E2" s="12" t="str">
        <f aca="false">IFERROR(INDEX(Empresas!$D:$D,MATCH(D2,Empresas!$A:$A,0)),"")</f>
        <v>60.536.286 SILVIO SCHURT</v>
      </c>
      <c r="F2" s="6" t="s">
        <v>196</v>
      </c>
      <c r="G2" s="6" t="s">
        <v>471</v>
      </c>
    </row>
    <row r="3" customFormat="false" ht="15" hidden="false" customHeight="false" outlineLevel="0" collapsed="false">
      <c r="A3" s="6" t="s">
        <v>472</v>
      </c>
      <c r="B3" s="6" t="s">
        <v>454</v>
      </c>
      <c r="C3" s="12" t="str">
        <f aca="false">IFERROR(INDEX(Obras!$B:$B,MATCH(B3,Obras!$A:$A,0)),"")</f>
        <v>Hospital SC</v>
      </c>
      <c r="D3" s="6" t="s">
        <v>52</v>
      </c>
      <c r="E3" s="12" t="str">
        <f aca="false">IFERROR(INDEX(Empresas!$D:$D,MATCH(D3,Empresas!$A:$A,0)),"")</f>
        <v>60.555.952 GABRIEL SCHURT</v>
      </c>
      <c r="F3" s="6" t="s">
        <v>196</v>
      </c>
      <c r="G3" s="6" t="s">
        <v>471</v>
      </c>
    </row>
    <row r="4" customFormat="false" ht="15" hidden="false" customHeight="false" outlineLevel="0" collapsed="false">
      <c r="A4" s="6" t="s">
        <v>473</v>
      </c>
      <c r="B4" s="6" t="s">
        <v>454</v>
      </c>
      <c r="C4" s="12" t="str">
        <f aca="false">IFERROR(INDEX(Obras!$B:$B,MATCH(B4,Obras!$A:$A,0)),"")</f>
        <v>Hospital SC</v>
      </c>
      <c r="D4" s="6" t="s">
        <v>77</v>
      </c>
      <c r="E4" s="12" t="str">
        <f aca="false">IFERROR(INDEX(Empresas!$D:$D,MATCH(D4,Empresas!$A:$A,0)),"")</f>
        <v>DHS ELEVADORES LTDA</v>
      </c>
      <c r="F4" s="6" t="s">
        <v>196</v>
      </c>
      <c r="G4" s="6" t="s">
        <v>471</v>
      </c>
    </row>
    <row r="5" customFormat="false" ht="15" hidden="false" customHeight="false" outlineLevel="0" collapsed="false">
      <c r="A5" s="6" t="s">
        <v>474</v>
      </c>
      <c r="B5" s="6" t="s">
        <v>454</v>
      </c>
      <c r="C5" s="12" t="str">
        <f aca="false">IFERROR(INDEX(Obras!$B:$B,MATCH(B5,Obras!$A:$A,0)),"")</f>
        <v>Hospital SC</v>
      </c>
      <c r="D5" s="6" t="s">
        <v>161</v>
      </c>
      <c r="E5" s="12" t="str">
        <f aca="false">IFERROR(INDEX(Empresas!$D:$D,MATCH(D5,Empresas!$A:$A,0)),"")</f>
        <v>NEXT FLOOR LTDA</v>
      </c>
      <c r="F5" s="6" t="s">
        <v>196</v>
      </c>
      <c r="G5" s="6" t="s">
        <v>471</v>
      </c>
    </row>
    <row r="6" customFormat="false" ht="15" hidden="false" customHeight="false" outlineLevel="0" collapsed="false">
      <c r="A6" s="6" t="s">
        <v>475</v>
      </c>
      <c r="B6" s="6" t="s">
        <v>454</v>
      </c>
      <c r="C6" s="12" t="str">
        <f aca="false">IFERROR(INDEX(Obras!$B:$B,MATCH(B6,Obras!$A:$A,0)),"")</f>
        <v>Hospital SC</v>
      </c>
      <c r="D6" s="6" t="s">
        <v>202</v>
      </c>
      <c r="E6" s="12" t="str">
        <f aca="false">IFERROR(INDEX(Empresas!$D:$D,MATCH(D6,Empresas!$A:$A,0)),"")</f>
        <v>VDR MONTAGENS LTDA</v>
      </c>
      <c r="F6" s="6" t="s">
        <v>196</v>
      </c>
      <c r="G6" s="6" t="s">
        <v>471</v>
      </c>
    </row>
    <row r="7" customFormat="false" ht="15" hidden="false" customHeight="false" outlineLevel="0" collapsed="false">
      <c r="A7" s="6" t="s">
        <v>476</v>
      </c>
      <c r="B7" s="6" t="s">
        <v>454</v>
      </c>
      <c r="C7" s="12" t="str">
        <f aca="false">IFERROR(INDEX(Obras!$B:$B,MATCH(B7,Obras!$A:$A,0)),"")</f>
        <v>Hospital SC</v>
      </c>
      <c r="D7" s="6" t="s">
        <v>205</v>
      </c>
      <c r="E7" s="12" t="str">
        <f aca="false">IFERROR(INDEX(Empresas!$D:$D,MATCH(D7,Empresas!$A:$A,0)),"")</f>
        <v>VERTICAL TECH ELEVADORES LTDA</v>
      </c>
      <c r="F7" s="6" t="s">
        <v>196</v>
      </c>
      <c r="G7" s="6" t="s">
        <v>471</v>
      </c>
    </row>
    <row r="8" customFormat="false" ht="15" hidden="false" customHeight="false" outlineLevel="0" collapsed="false">
      <c r="A8" s="6" t="s">
        <v>477</v>
      </c>
      <c r="B8" s="6" t="s">
        <v>451</v>
      </c>
      <c r="C8" s="12" t="str">
        <f aca="false">IFERROR(INDEX(Obras!$B:$B,MATCH(B8,Obras!$A:$A,0)),"")</f>
        <v>Metro BH</v>
      </c>
      <c r="D8" s="6" t="s">
        <v>113</v>
      </c>
      <c r="E8" s="12" t="str">
        <f aca="false">IFERROR(INDEX(Empresas!$D:$D,MATCH(D8,Empresas!$A:$A,0)),"")</f>
        <v>ESCAMAX MANUTENCAO DE EQUIPAMENTOS DE MOBILIDADE LTDA</v>
      </c>
      <c r="F8" s="6" t="s">
        <v>196</v>
      </c>
      <c r="G8" s="6" t="s">
        <v>471</v>
      </c>
    </row>
    <row r="9" customFormat="false" ht="15" hidden="false" customHeight="false" outlineLevel="0" collapsed="false">
      <c r="A9" s="6" t="s">
        <v>478</v>
      </c>
      <c r="B9" s="6" t="s">
        <v>448</v>
      </c>
      <c r="C9" s="12" t="str">
        <f aca="false">IFERROR(INDEX(Obras!$B:$B,MATCH(B9,Obras!$A:$A,0)),"")</f>
        <v>Metro SP</v>
      </c>
      <c r="D9" s="6" t="s">
        <v>171</v>
      </c>
      <c r="E9" s="12" t="str">
        <f aca="false">IFERROR(INDEX(Empresas!$D:$D,MATCH(D9,Empresas!$A:$A,0)),"")</f>
        <v>OLIVER ELEVADORES LTDA</v>
      </c>
      <c r="F9" s="6" t="s">
        <v>196</v>
      </c>
      <c r="G9" s="6" t="s">
        <v>471</v>
      </c>
    </row>
    <row r="10" customFormat="false" ht="15" hidden="false" customHeight="false" outlineLevel="0" collapsed="false">
      <c r="A10" s="6" t="s">
        <v>479</v>
      </c>
      <c r="B10" s="6" t="s">
        <v>457</v>
      </c>
      <c r="C10" s="12" t="str">
        <f aca="false">IFERROR(INDEX(Obras!$B:$B,MATCH(B10,Obras!$A:$A,0)),"")</f>
        <v>Paraguaçu</v>
      </c>
      <c r="D10" s="6" t="s">
        <v>185</v>
      </c>
      <c r="E10" s="12" t="str">
        <f aca="false">IFERROR(INDEX(Empresas!$D:$D,MATCH(D10,Empresas!$A:$A,0)),"")</f>
        <v>RN SCAL SERVICOS LTDA</v>
      </c>
      <c r="F10" s="6" t="s">
        <v>196</v>
      </c>
      <c r="G10" s="6" t="s">
        <v>471</v>
      </c>
    </row>
    <row r="11" customFormat="false" ht="15" hidden="false" customHeight="false" outlineLevel="0" collapsed="false">
      <c r="A11" s="6" t="s">
        <v>480</v>
      </c>
      <c r="B11" s="6" t="s">
        <v>460</v>
      </c>
      <c r="C11" s="12" t="str">
        <f aca="false">IFERROR(INDEX(Obras!$B:$B,MATCH(B11,Obras!$A:$A,0)),"")</f>
        <v>Vip Gales</v>
      </c>
      <c r="D11" s="6" t="s">
        <v>129</v>
      </c>
      <c r="E11" s="12" t="str">
        <f aca="false">IFERROR(INDEX(Empresas!$D:$D,MATCH(D11,Empresas!$A:$A,0)),"")</f>
        <v>LR GRUP ELEVADORES LTDA</v>
      </c>
      <c r="F11" s="6" t="s">
        <v>196</v>
      </c>
      <c r="G11" s="6" t="s">
        <v>471</v>
      </c>
    </row>
  </sheetData>
  <dataValidations count="1">
    <dataValidation allowBlank="true" errorStyle="stop" operator="between" showDropDown="false" showErrorMessage="false" showInputMessage="false" sqref="F2:F41" type="list">
      <formula1>"montagem,desmontagem,manutencao,ajuste_eletrico,outro,A_CONFIRMAR"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45"/>
    <col collapsed="false" customWidth="true" hidden="false" outlineLevel="0" max="4" min="4" style="0" width="16"/>
    <col collapsed="false" customWidth="true" hidden="false" outlineLevel="0" max="5" min="5" style="0" width="24"/>
    <col collapsed="false" customWidth="true" hidden="false" outlineLevel="0" max="6" min="6" style="0" width="45"/>
  </cols>
  <sheetData>
    <row r="1" customFormat="false" ht="30" hidden="false" customHeight="true" outlineLevel="0" collapsed="false">
      <c r="A1" s="5" t="s">
        <v>481</v>
      </c>
      <c r="B1" s="5" t="s">
        <v>466</v>
      </c>
      <c r="C1" s="5" t="s">
        <v>482</v>
      </c>
      <c r="D1" s="5" t="s">
        <v>432</v>
      </c>
      <c r="E1" s="5" t="s">
        <v>483</v>
      </c>
      <c r="F1" s="5" t="s">
        <v>32</v>
      </c>
    </row>
    <row r="2" customFormat="false" ht="15" hidden="false" customHeight="false" outlineLevel="0" collapsed="false">
      <c r="A2" s="14" t="s">
        <v>484</v>
      </c>
      <c r="B2" s="14" t="s">
        <v>478</v>
      </c>
      <c r="C2" s="15" t="str">
        <f aca="false">IFERROR(INDEX(Obra_Empresa!$E:$E,MATCH(B2,Obra_Empresa!$A:$A,0))&amp;" / "&amp;INDEX(Obra_Empresa!$C:$C,MATCH(B2,Obra_Empresa!$A:$A,0)),"")</f>
        <v>OLIVER ELEVADORES LTDA / Metro SP</v>
      </c>
      <c r="D2" s="14" t="s">
        <v>434</v>
      </c>
      <c r="E2" s="15" t="str">
        <f aca="false">IFERROR(INDEX(Especialidades!$B:$B,MATCH(D2,Especialidades!$A:$A,0)),"")</f>
        <v>Elevador</v>
      </c>
      <c r="F2" s="14" t="s">
        <v>485</v>
      </c>
    </row>
  </sheetData>
  <dataValidations count="1">
    <dataValidation allowBlank="true" errorStyle="stop" operator="between" showDropDown="false" showErrorMessage="false" showInputMessage="false" sqref="D2:D200" type="list">
      <formula1>"ESP-01,ESP-02,ESP-03"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4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26"/>
    <col collapsed="false" customWidth="true" hidden="false" outlineLevel="0" max="7" min="7" style="0" width="60"/>
  </cols>
  <sheetData>
    <row r="1" customFormat="false" ht="30" hidden="false" customHeight="true" outlineLevel="0" collapsed="false">
      <c r="A1" s="5" t="s">
        <v>486</v>
      </c>
      <c r="B1" s="5" t="s">
        <v>433</v>
      </c>
      <c r="C1" s="5" t="s">
        <v>487</v>
      </c>
      <c r="D1" s="5" t="s">
        <v>488</v>
      </c>
      <c r="E1" s="5" t="s">
        <v>489</v>
      </c>
      <c r="F1" s="5" t="s">
        <v>490</v>
      </c>
      <c r="G1" s="5" t="s">
        <v>32</v>
      </c>
    </row>
    <row r="2" customFormat="false" ht="15" hidden="false" customHeight="false" outlineLevel="0" collapsed="false">
      <c r="A2" s="6" t="s">
        <v>491</v>
      </c>
      <c r="B2" s="6" t="s">
        <v>213</v>
      </c>
      <c r="C2" s="6" t="s">
        <v>492</v>
      </c>
      <c r="D2" s="6" t="s">
        <v>493</v>
      </c>
      <c r="E2" s="6" t="s">
        <v>378</v>
      </c>
      <c r="F2" s="6" t="s">
        <v>494</v>
      </c>
      <c r="G2" s="6" t="s">
        <v>495</v>
      </c>
    </row>
    <row r="3" customFormat="false" ht="15" hidden="false" customHeight="false" outlineLevel="0" collapsed="false">
      <c r="A3" s="6" t="s">
        <v>496</v>
      </c>
      <c r="B3" s="6" t="s">
        <v>212</v>
      </c>
      <c r="C3" s="6" t="s">
        <v>492</v>
      </c>
      <c r="D3" s="6" t="s">
        <v>497</v>
      </c>
      <c r="E3" s="6" t="s">
        <v>378</v>
      </c>
      <c r="F3" s="6" t="s">
        <v>494</v>
      </c>
      <c r="G3" s="6"/>
    </row>
    <row r="4" customFormat="false" ht="15" hidden="false" customHeight="false" outlineLevel="0" collapsed="false">
      <c r="A4" s="6" t="s">
        <v>498</v>
      </c>
      <c r="B4" s="6" t="s">
        <v>214</v>
      </c>
      <c r="C4" s="6" t="s">
        <v>492</v>
      </c>
      <c r="D4" s="6" t="s">
        <v>493</v>
      </c>
      <c r="E4" s="6" t="s">
        <v>499</v>
      </c>
      <c r="F4" s="6" t="s">
        <v>494</v>
      </c>
      <c r="G4" s="6" t="s">
        <v>500</v>
      </c>
    </row>
    <row r="5" customFormat="false" ht="15" hidden="false" customHeight="false" outlineLevel="0" collapsed="false">
      <c r="A5" s="7" t="s">
        <v>501</v>
      </c>
      <c r="B5" s="7" t="s">
        <v>502</v>
      </c>
      <c r="C5" s="7" t="s">
        <v>492</v>
      </c>
      <c r="D5" s="7" t="s">
        <v>503</v>
      </c>
      <c r="E5" s="7" t="s">
        <v>378</v>
      </c>
      <c r="F5" s="7" t="s">
        <v>494</v>
      </c>
      <c r="G5" s="7" t="s">
        <v>504</v>
      </c>
    </row>
    <row r="6" customFormat="false" ht="15" hidden="false" customHeight="false" outlineLevel="0" collapsed="false">
      <c r="A6" s="6" t="s">
        <v>505</v>
      </c>
      <c r="B6" s="6" t="s">
        <v>506</v>
      </c>
      <c r="C6" s="6" t="s">
        <v>507</v>
      </c>
      <c r="D6" s="6" t="s">
        <v>497</v>
      </c>
      <c r="E6" s="6" t="s">
        <v>378</v>
      </c>
      <c r="F6" s="6" t="s">
        <v>494</v>
      </c>
      <c r="G6" s="6"/>
    </row>
    <row r="7" customFormat="false" ht="15" hidden="false" customHeight="false" outlineLevel="0" collapsed="false">
      <c r="A7" s="6" t="s">
        <v>508</v>
      </c>
      <c r="B7" s="6" t="s">
        <v>509</v>
      </c>
      <c r="C7" s="6" t="s">
        <v>507</v>
      </c>
      <c r="D7" s="6" t="s">
        <v>510</v>
      </c>
      <c r="E7" s="6" t="s">
        <v>378</v>
      </c>
      <c r="F7" s="6" t="s">
        <v>511</v>
      </c>
      <c r="G7" s="6" t="s">
        <v>512</v>
      </c>
    </row>
    <row r="8" customFormat="false" ht="15" hidden="false" customHeight="false" outlineLevel="0" collapsed="false">
      <c r="A8" s="6" t="s">
        <v>513</v>
      </c>
      <c r="B8" s="6" t="s">
        <v>514</v>
      </c>
      <c r="C8" s="6" t="s">
        <v>492</v>
      </c>
      <c r="D8" s="6" t="s">
        <v>510</v>
      </c>
      <c r="E8" s="6" t="s">
        <v>378</v>
      </c>
      <c r="F8" s="6" t="s">
        <v>515</v>
      </c>
      <c r="G8" s="6" t="s">
        <v>512</v>
      </c>
    </row>
    <row r="9" customFormat="false" ht="15" hidden="false" customHeight="false" outlineLevel="0" collapsed="false">
      <c r="A9" s="6" t="s">
        <v>516</v>
      </c>
      <c r="B9" s="6" t="s">
        <v>517</v>
      </c>
      <c r="C9" s="6" t="s">
        <v>507</v>
      </c>
      <c r="D9" s="6" t="s">
        <v>518</v>
      </c>
      <c r="E9" s="6" t="s">
        <v>378</v>
      </c>
      <c r="F9" s="6" t="s">
        <v>511</v>
      </c>
      <c r="G9" s="6" t="s">
        <v>495</v>
      </c>
    </row>
    <row r="10" customFormat="false" ht="15" hidden="false" customHeight="false" outlineLevel="0" collapsed="false">
      <c r="A10" s="6" t="s">
        <v>519</v>
      </c>
      <c r="B10" s="6" t="s">
        <v>520</v>
      </c>
      <c r="C10" s="6" t="s">
        <v>492</v>
      </c>
      <c r="D10" s="6" t="s">
        <v>518</v>
      </c>
      <c r="E10" s="6" t="s">
        <v>378</v>
      </c>
      <c r="F10" s="6" t="s">
        <v>515</v>
      </c>
      <c r="G10" s="6" t="s">
        <v>495</v>
      </c>
    </row>
    <row r="11" customFormat="false" ht="15" hidden="false" customHeight="false" outlineLevel="0" collapsed="false">
      <c r="A11" s="6" t="s">
        <v>521</v>
      </c>
      <c r="B11" s="6" t="s">
        <v>522</v>
      </c>
      <c r="C11" s="6" t="s">
        <v>507</v>
      </c>
      <c r="D11" s="6" t="s">
        <v>523</v>
      </c>
      <c r="E11" s="6" t="s">
        <v>378</v>
      </c>
      <c r="F11" s="6" t="s">
        <v>511</v>
      </c>
      <c r="G11" s="6" t="s">
        <v>495</v>
      </c>
    </row>
    <row r="12" customFormat="false" ht="15" hidden="false" customHeight="false" outlineLevel="0" collapsed="false">
      <c r="A12" s="6" t="s">
        <v>524</v>
      </c>
      <c r="B12" s="6" t="s">
        <v>525</v>
      </c>
      <c r="C12" s="6" t="s">
        <v>492</v>
      </c>
      <c r="D12" s="6" t="s">
        <v>523</v>
      </c>
      <c r="E12" s="6" t="s">
        <v>378</v>
      </c>
      <c r="F12" s="6" t="s">
        <v>515</v>
      </c>
      <c r="G12" s="6" t="s">
        <v>495</v>
      </c>
    </row>
    <row r="13" customFormat="false" ht="15" hidden="false" customHeight="false" outlineLevel="0" collapsed="false">
      <c r="A13" s="7" t="s">
        <v>526</v>
      </c>
      <c r="B13" s="7" t="s">
        <v>527</v>
      </c>
      <c r="C13" s="7" t="s">
        <v>507</v>
      </c>
      <c r="D13" s="7" t="s">
        <v>503</v>
      </c>
      <c r="E13" s="7" t="s">
        <v>378</v>
      </c>
      <c r="F13" s="7" t="s">
        <v>511</v>
      </c>
      <c r="G13" s="7" t="s">
        <v>528</v>
      </c>
    </row>
    <row r="14" customFormat="false" ht="15" hidden="false" customHeight="false" outlineLevel="0" collapsed="false">
      <c r="A14" s="7" t="s">
        <v>529</v>
      </c>
      <c r="B14" s="7" t="s">
        <v>530</v>
      </c>
      <c r="C14" s="7" t="s">
        <v>492</v>
      </c>
      <c r="D14" s="7" t="s">
        <v>503</v>
      </c>
      <c r="E14" s="7" t="s">
        <v>378</v>
      </c>
      <c r="F14" s="7" t="s">
        <v>515</v>
      </c>
      <c r="G14" s="7" t="s">
        <v>528</v>
      </c>
    </row>
    <row r="15" customFormat="false" ht="15" hidden="false" customHeight="false" outlineLevel="0" collapsed="false">
      <c r="A15" s="6" t="s">
        <v>531</v>
      </c>
      <c r="B15" s="6" t="s">
        <v>532</v>
      </c>
      <c r="C15" s="6" t="s">
        <v>507</v>
      </c>
      <c r="D15" s="6" t="s">
        <v>518</v>
      </c>
      <c r="E15" s="6" t="s">
        <v>378</v>
      </c>
      <c r="F15" s="6" t="s">
        <v>511</v>
      </c>
      <c r="G15" s="6" t="s">
        <v>495</v>
      </c>
    </row>
    <row r="16" customFormat="false" ht="15" hidden="false" customHeight="false" outlineLevel="0" collapsed="false">
      <c r="A16" s="6" t="s">
        <v>533</v>
      </c>
      <c r="B16" s="6" t="s">
        <v>534</v>
      </c>
      <c r="C16" s="6" t="s">
        <v>492</v>
      </c>
      <c r="D16" s="6" t="s">
        <v>518</v>
      </c>
      <c r="E16" s="6" t="s">
        <v>378</v>
      </c>
      <c r="F16" s="6" t="s">
        <v>515</v>
      </c>
      <c r="G16" s="6" t="s">
        <v>495</v>
      </c>
    </row>
    <row r="17" customFormat="false" ht="15" hidden="false" customHeight="false" outlineLevel="0" collapsed="false">
      <c r="A17" s="6" t="s">
        <v>535</v>
      </c>
      <c r="B17" s="6" t="s">
        <v>536</v>
      </c>
      <c r="C17" s="6" t="s">
        <v>507</v>
      </c>
      <c r="D17" s="6" t="s">
        <v>523</v>
      </c>
      <c r="E17" s="6" t="s">
        <v>378</v>
      </c>
      <c r="F17" s="6" t="s">
        <v>511</v>
      </c>
      <c r="G17" s="6" t="s">
        <v>495</v>
      </c>
    </row>
    <row r="18" customFormat="false" ht="15" hidden="false" customHeight="false" outlineLevel="0" collapsed="false">
      <c r="A18" s="6" t="s">
        <v>537</v>
      </c>
      <c r="B18" s="6" t="s">
        <v>538</v>
      </c>
      <c r="C18" s="6" t="s">
        <v>492</v>
      </c>
      <c r="D18" s="6" t="s">
        <v>523</v>
      </c>
      <c r="E18" s="6" t="s">
        <v>378</v>
      </c>
      <c r="F18" s="6" t="s">
        <v>515</v>
      </c>
      <c r="G18" s="6" t="s">
        <v>495</v>
      </c>
    </row>
    <row r="19" customFormat="false" ht="15" hidden="false" customHeight="false" outlineLevel="0" collapsed="false">
      <c r="A19" s="7" t="s">
        <v>539</v>
      </c>
      <c r="B19" s="7" t="s">
        <v>540</v>
      </c>
      <c r="C19" s="7" t="s">
        <v>507</v>
      </c>
      <c r="D19" s="7" t="s">
        <v>503</v>
      </c>
      <c r="E19" s="7" t="s">
        <v>378</v>
      </c>
      <c r="F19" s="7" t="s">
        <v>511</v>
      </c>
      <c r="G19" s="7" t="s">
        <v>528</v>
      </c>
    </row>
    <row r="20" customFormat="false" ht="15" hidden="false" customHeight="false" outlineLevel="0" collapsed="false">
      <c r="A20" s="7" t="s">
        <v>541</v>
      </c>
      <c r="B20" s="7" t="s">
        <v>542</v>
      </c>
      <c r="C20" s="7" t="s">
        <v>492</v>
      </c>
      <c r="D20" s="7" t="s">
        <v>503</v>
      </c>
      <c r="E20" s="7" t="s">
        <v>378</v>
      </c>
      <c r="F20" s="7" t="s">
        <v>515</v>
      </c>
      <c r="G20" s="7" t="s">
        <v>528</v>
      </c>
    </row>
    <row r="21" customFormat="false" ht="15" hidden="false" customHeight="false" outlineLevel="0" collapsed="false">
      <c r="A21" s="6" t="s">
        <v>543</v>
      </c>
      <c r="B21" s="6" t="s">
        <v>544</v>
      </c>
      <c r="C21" s="6" t="s">
        <v>507</v>
      </c>
      <c r="D21" s="6" t="s">
        <v>518</v>
      </c>
      <c r="E21" s="6" t="s">
        <v>378</v>
      </c>
      <c r="F21" s="6" t="s">
        <v>511</v>
      </c>
      <c r="G21" s="6" t="s">
        <v>495</v>
      </c>
    </row>
    <row r="22" customFormat="false" ht="15" hidden="false" customHeight="false" outlineLevel="0" collapsed="false">
      <c r="A22" s="6" t="s">
        <v>545</v>
      </c>
      <c r="B22" s="6" t="s">
        <v>546</v>
      </c>
      <c r="C22" s="6" t="s">
        <v>492</v>
      </c>
      <c r="D22" s="6" t="s">
        <v>518</v>
      </c>
      <c r="E22" s="6" t="s">
        <v>378</v>
      </c>
      <c r="F22" s="6" t="s">
        <v>515</v>
      </c>
      <c r="G22" s="6" t="s">
        <v>495</v>
      </c>
    </row>
    <row r="23" customFormat="false" ht="15" hidden="false" customHeight="false" outlineLevel="0" collapsed="false">
      <c r="A23" s="6" t="s">
        <v>547</v>
      </c>
      <c r="B23" s="6" t="s">
        <v>548</v>
      </c>
      <c r="C23" s="6" t="s">
        <v>507</v>
      </c>
      <c r="D23" s="6" t="s">
        <v>523</v>
      </c>
      <c r="E23" s="6" t="s">
        <v>378</v>
      </c>
      <c r="F23" s="6" t="s">
        <v>511</v>
      </c>
      <c r="G23" s="6" t="s">
        <v>495</v>
      </c>
    </row>
    <row r="24" customFormat="false" ht="15" hidden="false" customHeight="false" outlineLevel="0" collapsed="false">
      <c r="A24" s="6" t="s">
        <v>549</v>
      </c>
      <c r="B24" s="6" t="s">
        <v>550</v>
      </c>
      <c r="C24" s="6" t="s">
        <v>492</v>
      </c>
      <c r="D24" s="6" t="s">
        <v>523</v>
      </c>
      <c r="E24" s="6" t="s">
        <v>378</v>
      </c>
      <c r="F24" s="6" t="s">
        <v>515</v>
      </c>
      <c r="G24" s="6" t="s">
        <v>495</v>
      </c>
    </row>
    <row r="25" customFormat="false" ht="15" hidden="false" customHeight="false" outlineLevel="0" collapsed="false">
      <c r="A25" s="6" t="s">
        <v>551</v>
      </c>
      <c r="B25" s="6" t="s">
        <v>552</v>
      </c>
      <c r="C25" s="6" t="s">
        <v>507</v>
      </c>
      <c r="D25" s="6" t="s">
        <v>518</v>
      </c>
      <c r="E25" s="6" t="s">
        <v>378</v>
      </c>
      <c r="F25" s="6" t="s">
        <v>511</v>
      </c>
      <c r="G25" s="6" t="s">
        <v>495</v>
      </c>
    </row>
    <row r="26" customFormat="false" ht="15" hidden="false" customHeight="false" outlineLevel="0" collapsed="false">
      <c r="A26" s="6" t="s">
        <v>553</v>
      </c>
      <c r="B26" s="6" t="s">
        <v>554</v>
      </c>
      <c r="C26" s="6" t="s">
        <v>492</v>
      </c>
      <c r="D26" s="6" t="s">
        <v>518</v>
      </c>
      <c r="E26" s="6" t="s">
        <v>378</v>
      </c>
      <c r="F26" s="6" t="s">
        <v>515</v>
      </c>
      <c r="G26" s="6" t="s">
        <v>495</v>
      </c>
    </row>
    <row r="27" customFormat="false" ht="15" hidden="false" customHeight="false" outlineLevel="0" collapsed="false">
      <c r="A27" s="7" t="s">
        <v>555</v>
      </c>
      <c r="B27" s="7" t="s">
        <v>556</v>
      </c>
      <c r="C27" s="7" t="s">
        <v>507</v>
      </c>
      <c r="D27" s="7" t="s">
        <v>503</v>
      </c>
      <c r="E27" s="7" t="s">
        <v>378</v>
      </c>
      <c r="F27" s="7" t="s">
        <v>511</v>
      </c>
      <c r="G27" s="7" t="s">
        <v>528</v>
      </c>
    </row>
    <row r="28" customFormat="false" ht="15" hidden="false" customHeight="false" outlineLevel="0" collapsed="false">
      <c r="A28" s="7" t="s">
        <v>557</v>
      </c>
      <c r="B28" s="7" t="s">
        <v>558</v>
      </c>
      <c r="C28" s="7" t="s">
        <v>492</v>
      </c>
      <c r="D28" s="7" t="s">
        <v>503</v>
      </c>
      <c r="E28" s="7" t="s">
        <v>378</v>
      </c>
      <c r="F28" s="7" t="s">
        <v>515</v>
      </c>
      <c r="G28" s="7" t="s">
        <v>528</v>
      </c>
    </row>
    <row r="29" customFormat="false" ht="15" hidden="false" customHeight="false" outlineLevel="0" collapsed="false">
      <c r="A29" s="6" t="s">
        <v>559</v>
      </c>
      <c r="B29" s="6" t="s">
        <v>560</v>
      </c>
      <c r="C29" s="6" t="s">
        <v>507</v>
      </c>
      <c r="D29" s="6" t="s">
        <v>523</v>
      </c>
      <c r="E29" s="6" t="s">
        <v>378</v>
      </c>
      <c r="F29" s="6" t="s">
        <v>511</v>
      </c>
      <c r="G29" s="6" t="s">
        <v>495</v>
      </c>
    </row>
    <row r="30" customFormat="false" ht="15" hidden="false" customHeight="false" outlineLevel="0" collapsed="false">
      <c r="A30" s="6" t="s">
        <v>561</v>
      </c>
      <c r="B30" s="6" t="s">
        <v>562</v>
      </c>
      <c r="C30" s="6" t="s">
        <v>492</v>
      </c>
      <c r="D30" s="6" t="s">
        <v>523</v>
      </c>
      <c r="E30" s="6" t="s">
        <v>378</v>
      </c>
      <c r="F30" s="6" t="s">
        <v>515</v>
      </c>
      <c r="G30" s="6" t="s">
        <v>495</v>
      </c>
    </row>
    <row r="31" customFormat="false" ht="15" hidden="false" customHeight="false" outlineLevel="0" collapsed="false">
      <c r="A31" s="6" t="s">
        <v>563</v>
      </c>
      <c r="B31" s="6" t="s">
        <v>564</v>
      </c>
      <c r="C31" s="6" t="s">
        <v>507</v>
      </c>
      <c r="D31" s="6" t="s">
        <v>523</v>
      </c>
      <c r="E31" s="6" t="s">
        <v>378</v>
      </c>
      <c r="F31" s="6" t="s">
        <v>511</v>
      </c>
      <c r="G31" s="6" t="s">
        <v>495</v>
      </c>
    </row>
    <row r="32" customFormat="false" ht="15" hidden="false" customHeight="false" outlineLevel="0" collapsed="false">
      <c r="A32" s="6" t="s">
        <v>565</v>
      </c>
      <c r="B32" s="6" t="s">
        <v>566</v>
      </c>
      <c r="C32" s="6" t="s">
        <v>492</v>
      </c>
      <c r="D32" s="6" t="s">
        <v>523</v>
      </c>
      <c r="E32" s="6" t="s">
        <v>378</v>
      </c>
      <c r="F32" s="6" t="s">
        <v>515</v>
      </c>
      <c r="G32" s="6" t="s">
        <v>495</v>
      </c>
    </row>
    <row r="33" customFormat="false" ht="15" hidden="false" customHeight="false" outlineLevel="0" collapsed="false">
      <c r="A33" s="7" t="s">
        <v>567</v>
      </c>
      <c r="B33" s="7" t="s">
        <v>568</v>
      </c>
      <c r="C33" s="7" t="s">
        <v>507</v>
      </c>
      <c r="D33" s="7" t="s">
        <v>503</v>
      </c>
      <c r="E33" s="7" t="s">
        <v>378</v>
      </c>
      <c r="F33" s="7" t="s">
        <v>511</v>
      </c>
      <c r="G33" s="7" t="s">
        <v>528</v>
      </c>
    </row>
    <row r="34" customFormat="false" ht="15" hidden="false" customHeight="false" outlineLevel="0" collapsed="false">
      <c r="A34" s="7" t="s">
        <v>569</v>
      </c>
      <c r="B34" s="7" t="s">
        <v>570</v>
      </c>
      <c r="C34" s="7" t="s">
        <v>492</v>
      </c>
      <c r="D34" s="7" t="s">
        <v>503</v>
      </c>
      <c r="E34" s="7" t="s">
        <v>378</v>
      </c>
      <c r="F34" s="7" t="s">
        <v>515</v>
      </c>
      <c r="G34" s="7" t="s">
        <v>528</v>
      </c>
    </row>
    <row r="35" customFormat="false" ht="15" hidden="false" customHeight="false" outlineLevel="0" collapsed="false">
      <c r="A35" s="6" t="s">
        <v>571</v>
      </c>
      <c r="B35" s="6" t="s">
        <v>572</v>
      </c>
      <c r="C35" s="6" t="s">
        <v>492</v>
      </c>
      <c r="D35" s="6" t="s">
        <v>497</v>
      </c>
      <c r="E35" s="6" t="s">
        <v>378</v>
      </c>
      <c r="F35" s="6" t="s">
        <v>573</v>
      </c>
      <c r="G35" s="6" t="s">
        <v>528</v>
      </c>
    </row>
    <row r="36" customFormat="false" ht="15" hidden="false" customHeight="false" outlineLevel="0" collapsed="false">
      <c r="A36" s="6" t="s">
        <v>574</v>
      </c>
      <c r="B36" s="6" t="s">
        <v>575</v>
      </c>
      <c r="C36" s="6" t="s">
        <v>492</v>
      </c>
      <c r="D36" s="6" t="s">
        <v>497</v>
      </c>
      <c r="E36" s="6" t="s">
        <v>378</v>
      </c>
      <c r="F36" s="6" t="s">
        <v>576</v>
      </c>
      <c r="G36" s="6" t="s">
        <v>528</v>
      </c>
    </row>
    <row r="37" customFormat="false" ht="15" hidden="false" customHeight="false" outlineLevel="0" collapsed="false">
      <c r="A37" s="6" t="s">
        <v>577</v>
      </c>
      <c r="B37" s="6" t="s">
        <v>578</v>
      </c>
      <c r="C37" s="6" t="s">
        <v>492</v>
      </c>
      <c r="D37" s="6" t="s">
        <v>497</v>
      </c>
      <c r="E37" s="6" t="s">
        <v>378</v>
      </c>
      <c r="F37" s="6" t="s">
        <v>573</v>
      </c>
      <c r="G37" s="6" t="s">
        <v>528</v>
      </c>
    </row>
    <row r="38" customFormat="false" ht="15" hidden="false" customHeight="false" outlineLevel="0" collapsed="false">
      <c r="A38" s="6" t="s">
        <v>579</v>
      </c>
      <c r="B38" s="6" t="s">
        <v>580</v>
      </c>
      <c r="C38" s="6" t="s">
        <v>492</v>
      </c>
      <c r="D38" s="6" t="s">
        <v>581</v>
      </c>
      <c r="E38" s="6" t="s">
        <v>499</v>
      </c>
      <c r="F38" s="6" t="s">
        <v>576</v>
      </c>
      <c r="G38" s="6" t="s">
        <v>582</v>
      </c>
    </row>
    <row r="39" customFormat="false" ht="15" hidden="false" customHeight="false" outlineLevel="0" collapsed="false">
      <c r="A39" s="6" t="s">
        <v>583</v>
      </c>
      <c r="B39" s="6" t="s">
        <v>584</v>
      </c>
      <c r="C39" s="6" t="s">
        <v>492</v>
      </c>
      <c r="D39" s="6" t="s">
        <v>497</v>
      </c>
      <c r="E39" s="6" t="s">
        <v>378</v>
      </c>
      <c r="F39" s="6" t="s">
        <v>573</v>
      </c>
      <c r="G39" s="6" t="s">
        <v>585</v>
      </c>
    </row>
    <row r="40" customFormat="false" ht="15" hidden="false" customHeight="false" outlineLevel="0" collapsed="false">
      <c r="A40" s="6" t="s">
        <v>586</v>
      </c>
      <c r="B40" s="6" t="s">
        <v>587</v>
      </c>
      <c r="C40" s="6" t="s">
        <v>492</v>
      </c>
      <c r="D40" s="6" t="s">
        <v>497</v>
      </c>
      <c r="E40" s="6" t="s">
        <v>378</v>
      </c>
      <c r="F40" s="6" t="s">
        <v>573</v>
      </c>
      <c r="G40" s="6" t="s">
        <v>528</v>
      </c>
    </row>
    <row r="41" customFormat="false" ht="15" hidden="false" customHeight="false" outlineLevel="0" collapsed="false">
      <c r="A41" s="7" t="s">
        <v>588</v>
      </c>
      <c r="B41" s="7" t="s">
        <v>589</v>
      </c>
      <c r="C41" s="7" t="s">
        <v>492</v>
      </c>
      <c r="D41" s="7" t="s">
        <v>503</v>
      </c>
      <c r="E41" s="7" t="s">
        <v>378</v>
      </c>
      <c r="F41" s="7" t="s">
        <v>573</v>
      </c>
      <c r="G41" s="7" t="s">
        <v>590</v>
      </c>
    </row>
    <row r="42" customFormat="false" ht="15" hidden="false" customHeight="false" outlineLevel="0" collapsed="false">
      <c r="A42" s="7" t="s">
        <v>591</v>
      </c>
      <c r="B42" s="7" t="s">
        <v>592</v>
      </c>
      <c r="C42" s="7" t="s">
        <v>492</v>
      </c>
      <c r="D42" s="7" t="s">
        <v>503</v>
      </c>
      <c r="E42" s="7" t="s">
        <v>499</v>
      </c>
      <c r="F42" s="7" t="s">
        <v>576</v>
      </c>
      <c r="G42" s="7" t="s">
        <v>528</v>
      </c>
    </row>
    <row r="43" customFormat="false" ht="15" hidden="false" customHeight="false" outlineLevel="0" collapsed="false">
      <c r="A43" s="7" t="s">
        <v>593</v>
      </c>
      <c r="B43" s="7" t="s">
        <v>594</v>
      </c>
      <c r="C43" s="7" t="s">
        <v>492</v>
      </c>
      <c r="D43" s="7" t="s">
        <v>503</v>
      </c>
      <c r="E43" s="7" t="s">
        <v>499</v>
      </c>
      <c r="F43" s="7" t="s">
        <v>576</v>
      </c>
      <c r="G43" s="7" t="s">
        <v>528</v>
      </c>
    </row>
    <row r="44" customFormat="false" ht="15" hidden="false" customHeight="false" outlineLevel="0" collapsed="false">
      <c r="A44" s="7" t="s">
        <v>595</v>
      </c>
      <c r="B44" s="7" t="s">
        <v>596</v>
      </c>
      <c r="C44" s="7" t="s">
        <v>492</v>
      </c>
      <c r="D44" s="7" t="s">
        <v>503</v>
      </c>
      <c r="E44" s="7" t="s">
        <v>499</v>
      </c>
      <c r="F44" s="7" t="s">
        <v>597</v>
      </c>
      <c r="G44" s="7" t="s">
        <v>598</v>
      </c>
    </row>
    <row r="45" customFormat="false" ht="15" hidden="false" customHeight="false" outlineLevel="0" collapsed="false">
      <c r="A45" s="7" t="s">
        <v>599</v>
      </c>
      <c r="B45" s="7" t="s">
        <v>600</v>
      </c>
      <c r="C45" s="7" t="s">
        <v>492</v>
      </c>
      <c r="D45" s="7" t="s">
        <v>503</v>
      </c>
      <c r="E45" s="7" t="s">
        <v>499</v>
      </c>
      <c r="F45" s="7" t="s">
        <v>455</v>
      </c>
      <c r="G45" s="7" t="s">
        <v>528</v>
      </c>
    </row>
    <row r="46" customFormat="false" ht="15" hidden="false" customHeight="false" outlineLevel="0" collapsed="false">
      <c r="A46" s="7" t="s">
        <v>601</v>
      </c>
      <c r="B46" s="7" t="s">
        <v>602</v>
      </c>
      <c r="C46" s="7" t="s">
        <v>492</v>
      </c>
      <c r="D46" s="7" t="s">
        <v>503</v>
      </c>
      <c r="E46" s="7" t="s">
        <v>499</v>
      </c>
      <c r="F46" s="7" t="s">
        <v>455</v>
      </c>
      <c r="G46" s="7" t="s">
        <v>528</v>
      </c>
    </row>
    <row r="47" customFormat="false" ht="15" hidden="false" customHeight="false" outlineLevel="0" collapsed="false">
      <c r="A47" s="7" t="s">
        <v>603</v>
      </c>
      <c r="B47" s="7" t="s">
        <v>604</v>
      </c>
      <c r="C47" s="7" t="s">
        <v>492</v>
      </c>
      <c r="D47" s="7" t="s">
        <v>503</v>
      </c>
      <c r="E47" s="7" t="s">
        <v>378</v>
      </c>
      <c r="F47" s="7" t="s">
        <v>455</v>
      </c>
      <c r="G47" s="7" t="s">
        <v>528</v>
      </c>
    </row>
    <row r="48" customFormat="false" ht="15" hidden="false" customHeight="false" outlineLevel="0" collapsed="false">
      <c r="A48" s="7" t="s">
        <v>605</v>
      </c>
      <c r="B48" s="7" t="s">
        <v>606</v>
      </c>
      <c r="C48" s="7" t="s">
        <v>492</v>
      </c>
      <c r="D48" s="7" t="s">
        <v>503</v>
      </c>
      <c r="E48" s="7" t="s">
        <v>499</v>
      </c>
      <c r="F48" s="7" t="s">
        <v>449</v>
      </c>
      <c r="G48" s="7" t="s">
        <v>528</v>
      </c>
    </row>
    <row r="49" customFormat="false" ht="15" hidden="false" customHeight="false" outlineLevel="0" collapsed="false">
      <c r="A49" s="7" t="s">
        <v>607</v>
      </c>
      <c r="B49" s="7" t="s">
        <v>608</v>
      </c>
      <c r="C49" s="7" t="s">
        <v>492</v>
      </c>
      <c r="D49" s="7" t="s">
        <v>503</v>
      </c>
      <c r="E49" s="7" t="s">
        <v>499</v>
      </c>
      <c r="F49" s="7" t="s">
        <v>449</v>
      </c>
      <c r="G49" s="7" t="s">
        <v>528</v>
      </c>
    </row>
    <row r="50" customFormat="false" ht="15" hidden="false" customHeight="false" outlineLevel="0" collapsed="false">
      <c r="A50" s="7" t="s">
        <v>609</v>
      </c>
      <c r="B50" s="7" t="s">
        <v>610</v>
      </c>
      <c r="C50" s="7" t="s">
        <v>507</v>
      </c>
      <c r="D50" s="7" t="s">
        <v>503</v>
      </c>
      <c r="E50" s="7" t="s">
        <v>378</v>
      </c>
      <c r="F50" s="7" t="s">
        <v>611</v>
      </c>
      <c r="G50" s="7" t="s">
        <v>528</v>
      </c>
    </row>
    <row r="51" customFormat="false" ht="15" hidden="false" customHeight="false" outlineLevel="0" collapsed="false">
      <c r="A51" s="7" t="s">
        <v>612</v>
      </c>
      <c r="B51" s="7" t="s">
        <v>613</v>
      </c>
      <c r="C51" s="7" t="s">
        <v>507</v>
      </c>
      <c r="D51" s="7" t="s">
        <v>503</v>
      </c>
      <c r="E51" s="7" t="s">
        <v>378</v>
      </c>
      <c r="F51" s="7" t="s">
        <v>611</v>
      </c>
      <c r="G51" s="7" t="s">
        <v>528</v>
      </c>
    </row>
    <row r="52" customFormat="false" ht="15" hidden="false" customHeight="false" outlineLevel="0" collapsed="false">
      <c r="A52" s="6" t="s">
        <v>614</v>
      </c>
      <c r="B52" s="6" t="s">
        <v>615</v>
      </c>
      <c r="C52" s="6" t="s">
        <v>507</v>
      </c>
      <c r="D52" s="6" t="s">
        <v>497</v>
      </c>
      <c r="E52" s="6" t="s">
        <v>378</v>
      </c>
      <c r="F52" s="6" t="s">
        <v>449</v>
      </c>
      <c r="G52" s="6"/>
    </row>
    <row r="53" customFormat="false" ht="15" hidden="false" customHeight="false" outlineLevel="0" collapsed="false">
      <c r="A53" s="6" t="s">
        <v>616</v>
      </c>
      <c r="B53" s="6" t="s">
        <v>617</v>
      </c>
      <c r="C53" s="6" t="s">
        <v>507</v>
      </c>
      <c r="D53" s="6" t="s">
        <v>497</v>
      </c>
      <c r="E53" s="6" t="s">
        <v>499</v>
      </c>
      <c r="F53" s="6" t="s">
        <v>449</v>
      </c>
      <c r="G53" s="6" t="s">
        <v>618</v>
      </c>
    </row>
    <row r="54" customFormat="false" ht="15" hidden="false" customHeight="false" outlineLevel="0" collapsed="false">
      <c r="A54" s="7" t="s">
        <v>619</v>
      </c>
      <c r="B54" s="7" t="s">
        <v>620</v>
      </c>
      <c r="C54" s="7" t="s">
        <v>507</v>
      </c>
      <c r="D54" s="7" t="s">
        <v>503</v>
      </c>
      <c r="E54" s="7" t="s">
        <v>499</v>
      </c>
      <c r="F54" s="7" t="s">
        <v>449</v>
      </c>
      <c r="G54" s="7" t="s">
        <v>528</v>
      </c>
    </row>
    <row r="55" customFormat="false" ht="15" hidden="false" customHeight="false" outlineLevel="0" collapsed="false">
      <c r="A55" s="6" t="s">
        <v>621</v>
      </c>
      <c r="B55" s="6" t="s">
        <v>622</v>
      </c>
      <c r="C55" s="6" t="s">
        <v>507</v>
      </c>
      <c r="D55" s="6" t="s">
        <v>623</v>
      </c>
      <c r="E55" s="6" t="s">
        <v>499</v>
      </c>
      <c r="F55" s="6" t="s">
        <v>455</v>
      </c>
      <c r="G55" s="6" t="s">
        <v>528</v>
      </c>
    </row>
    <row r="56" customFormat="false" ht="15" hidden="false" customHeight="false" outlineLevel="0" collapsed="false">
      <c r="A56" s="6" t="s">
        <v>624</v>
      </c>
      <c r="B56" s="6" t="s">
        <v>625</v>
      </c>
      <c r="C56" s="6" t="s">
        <v>507</v>
      </c>
      <c r="D56" s="6" t="s">
        <v>623</v>
      </c>
      <c r="E56" s="6" t="s">
        <v>499</v>
      </c>
      <c r="F56" s="6" t="s">
        <v>455</v>
      </c>
      <c r="G56" s="6" t="s">
        <v>528</v>
      </c>
    </row>
    <row r="57" customFormat="false" ht="15" hidden="false" customHeight="false" outlineLevel="0" collapsed="false">
      <c r="A57" s="7" t="s">
        <v>626</v>
      </c>
      <c r="B57" s="7" t="s">
        <v>627</v>
      </c>
      <c r="C57" s="7" t="s">
        <v>492</v>
      </c>
      <c r="D57" s="7" t="s">
        <v>503</v>
      </c>
      <c r="E57" s="7" t="s">
        <v>499</v>
      </c>
      <c r="F57" s="7" t="s">
        <v>628</v>
      </c>
      <c r="G57" s="7" t="s">
        <v>629</v>
      </c>
    </row>
    <row r="58" customFormat="false" ht="15" hidden="false" customHeight="false" outlineLevel="0" collapsed="false">
      <c r="A58" s="7" t="s">
        <v>630</v>
      </c>
      <c r="B58" s="7" t="s">
        <v>631</v>
      </c>
      <c r="C58" s="7" t="s">
        <v>492</v>
      </c>
      <c r="D58" s="7" t="s">
        <v>503</v>
      </c>
      <c r="E58" s="7" t="s">
        <v>499</v>
      </c>
      <c r="F58" s="7" t="s">
        <v>628</v>
      </c>
      <c r="G58" s="7" t="s">
        <v>632</v>
      </c>
    </row>
    <row r="59" customFormat="false" ht="15" hidden="false" customHeight="false" outlineLevel="0" collapsed="false">
      <c r="A59" s="6" t="s">
        <v>633</v>
      </c>
      <c r="B59" s="6" t="s">
        <v>634</v>
      </c>
      <c r="C59" s="6" t="s">
        <v>635</v>
      </c>
      <c r="D59" s="6" t="s">
        <v>581</v>
      </c>
      <c r="E59" s="6" t="s">
        <v>378</v>
      </c>
      <c r="F59" s="6" t="s">
        <v>455</v>
      </c>
      <c r="G59" s="6"/>
    </row>
    <row r="60" customFormat="false" ht="15" hidden="false" customHeight="false" outlineLevel="0" collapsed="false">
      <c r="A60" s="7" t="s">
        <v>636</v>
      </c>
      <c r="B60" s="7" t="s">
        <v>637</v>
      </c>
      <c r="C60" s="7" t="s">
        <v>635</v>
      </c>
      <c r="D60" s="7" t="s">
        <v>503</v>
      </c>
      <c r="E60" s="7" t="s">
        <v>378</v>
      </c>
      <c r="F60" s="7" t="s">
        <v>455</v>
      </c>
      <c r="G60" s="7" t="s">
        <v>528</v>
      </c>
    </row>
    <row r="61" customFormat="false" ht="15" hidden="false" customHeight="false" outlineLevel="0" collapsed="false">
      <c r="A61" s="7" t="s">
        <v>638</v>
      </c>
      <c r="B61" s="7" t="s">
        <v>639</v>
      </c>
      <c r="C61" s="7" t="s">
        <v>635</v>
      </c>
      <c r="D61" s="7" t="s">
        <v>503</v>
      </c>
      <c r="E61" s="7" t="s">
        <v>378</v>
      </c>
      <c r="F61" s="7" t="s">
        <v>455</v>
      </c>
      <c r="G61" s="7" t="s">
        <v>528</v>
      </c>
    </row>
    <row r="62" customFormat="false" ht="15" hidden="false" customHeight="false" outlineLevel="0" collapsed="false">
      <c r="A62" s="6" t="s">
        <v>640</v>
      </c>
      <c r="B62" s="6" t="s">
        <v>641</v>
      </c>
      <c r="C62" s="6" t="s">
        <v>635</v>
      </c>
      <c r="D62" s="6" t="s">
        <v>497</v>
      </c>
      <c r="E62" s="6" t="s">
        <v>499</v>
      </c>
      <c r="F62" s="6" t="s">
        <v>455</v>
      </c>
      <c r="G62" s="6" t="s">
        <v>642</v>
      </c>
    </row>
    <row r="63" customFormat="false" ht="15" hidden="false" customHeight="false" outlineLevel="0" collapsed="false">
      <c r="A63" s="6" t="s">
        <v>643</v>
      </c>
      <c r="B63" s="6" t="s">
        <v>644</v>
      </c>
      <c r="C63" s="6" t="s">
        <v>635</v>
      </c>
      <c r="D63" s="6" t="s">
        <v>497</v>
      </c>
      <c r="E63" s="6" t="s">
        <v>378</v>
      </c>
      <c r="F63" s="6" t="s">
        <v>455</v>
      </c>
      <c r="G63" s="6"/>
    </row>
    <row r="64" customFormat="false" ht="15" hidden="false" customHeight="false" outlineLevel="0" collapsed="false">
      <c r="A64" s="6" t="s">
        <v>645</v>
      </c>
      <c r="B64" s="6" t="s">
        <v>646</v>
      </c>
      <c r="C64" s="6" t="s">
        <v>635</v>
      </c>
      <c r="D64" s="6" t="s">
        <v>497</v>
      </c>
      <c r="E64" s="6" t="s">
        <v>378</v>
      </c>
      <c r="F64" s="6" t="s">
        <v>455</v>
      </c>
      <c r="G64" s="6"/>
    </row>
    <row r="65" customFormat="false" ht="15" hidden="false" customHeight="false" outlineLevel="0" collapsed="false">
      <c r="A65" s="6" t="s">
        <v>647</v>
      </c>
      <c r="B65" s="6" t="s">
        <v>648</v>
      </c>
      <c r="C65" s="6" t="s">
        <v>635</v>
      </c>
      <c r="D65" s="6" t="s">
        <v>623</v>
      </c>
      <c r="E65" s="6" t="s">
        <v>378</v>
      </c>
      <c r="F65" s="6" t="s">
        <v>455</v>
      </c>
      <c r="G65" s="6"/>
    </row>
    <row r="66" customFormat="false" ht="15" hidden="false" customHeight="false" outlineLevel="0" collapsed="false">
      <c r="A66" s="7" t="s">
        <v>649</v>
      </c>
      <c r="B66" s="7" t="s">
        <v>650</v>
      </c>
      <c r="C66" s="7" t="s">
        <v>635</v>
      </c>
      <c r="D66" s="7" t="s">
        <v>503</v>
      </c>
      <c r="E66" s="7" t="s">
        <v>499</v>
      </c>
      <c r="F66" s="7" t="s">
        <v>455</v>
      </c>
      <c r="G66" s="7" t="s">
        <v>528</v>
      </c>
    </row>
    <row r="67" customFormat="false" ht="15" hidden="false" customHeight="false" outlineLevel="0" collapsed="false">
      <c r="A67" s="7" t="s">
        <v>651</v>
      </c>
      <c r="B67" s="7" t="s">
        <v>652</v>
      </c>
      <c r="C67" s="7" t="s">
        <v>635</v>
      </c>
      <c r="D67" s="7" t="s">
        <v>503</v>
      </c>
      <c r="E67" s="7" t="s">
        <v>499</v>
      </c>
      <c r="F67" s="7" t="s">
        <v>455</v>
      </c>
      <c r="G67" s="7" t="s">
        <v>528</v>
      </c>
    </row>
    <row r="68" customFormat="false" ht="15" hidden="false" customHeight="false" outlineLevel="0" collapsed="false">
      <c r="A68" s="7" t="s">
        <v>653</v>
      </c>
      <c r="B68" s="7" t="s">
        <v>654</v>
      </c>
      <c r="C68" s="7" t="s">
        <v>635</v>
      </c>
      <c r="D68" s="7" t="s">
        <v>503</v>
      </c>
      <c r="E68" s="7" t="s">
        <v>378</v>
      </c>
      <c r="F68" s="7" t="s">
        <v>455</v>
      </c>
      <c r="G68" s="7" t="s">
        <v>528</v>
      </c>
    </row>
    <row r="69" customFormat="false" ht="15" hidden="false" customHeight="false" outlineLevel="0" collapsed="false">
      <c r="A69" s="6" t="s">
        <v>655</v>
      </c>
      <c r="B69" s="6" t="s">
        <v>656</v>
      </c>
      <c r="C69" s="6" t="s">
        <v>635</v>
      </c>
      <c r="D69" s="6" t="s">
        <v>623</v>
      </c>
      <c r="E69" s="6" t="s">
        <v>378</v>
      </c>
      <c r="F69" s="6" t="s">
        <v>455</v>
      </c>
      <c r="G69" s="6"/>
    </row>
    <row r="70" customFormat="false" ht="15" hidden="false" customHeight="false" outlineLevel="0" collapsed="false">
      <c r="A70" s="6" t="s">
        <v>657</v>
      </c>
      <c r="B70" s="6" t="s">
        <v>658</v>
      </c>
      <c r="C70" s="6" t="s">
        <v>635</v>
      </c>
      <c r="D70" s="6" t="s">
        <v>581</v>
      </c>
      <c r="E70" s="6" t="s">
        <v>378</v>
      </c>
      <c r="F70" s="6" t="s">
        <v>455</v>
      </c>
      <c r="G70" s="6"/>
    </row>
    <row r="71" customFormat="false" ht="15" hidden="false" customHeight="false" outlineLevel="0" collapsed="false">
      <c r="A71" s="6" t="s">
        <v>659</v>
      </c>
      <c r="B71" s="6" t="s">
        <v>660</v>
      </c>
      <c r="C71" s="6" t="s">
        <v>635</v>
      </c>
      <c r="D71" s="6" t="s">
        <v>581</v>
      </c>
      <c r="E71" s="6" t="s">
        <v>378</v>
      </c>
      <c r="F71" s="6" t="s">
        <v>455</v>
      </c>
      <c r="G71" s="6"/>
    </row>
    <row r="72" customFormat="false" ht="15" hidden="false" customHeight="false" outlineLevel="0" collapsed="false">
      <c r="A72" s="6" t="s">
        <v>661</v>
      </c>
      <c r="B72" s="6" t="s">
        <v>662</v>
      </c>
      <c r="C72" s="6" t="s">
        <v>635</v>
      </c>
      <c r="D72" s="6" t="s">
        <v>623</v>
      </c>
      <c r="E72" s="6" t="s">
        <v>378</v>
      </c>
      <c r="F72" s="6" t="s">
        <v>455</v>
      </c>
      <c r="G72" s="6"/>
    </row>
    <row r="73" customFormat="false" ht="15" hidden="false" customHeight="false" outlineLevel="0" collapsed="false">
      <c r="A73" s="6" t="s">
        <v>663</v>
      </c>
      <c r="B73" s="6" t="s">
        <v>664</v>
      </c>
      <c r="C73" s="6" t="s">
        <v>635</v>
      </c>
      <c r="D73" s="6" t="s">
        <v>623</v>
      </c>
      <c r="E73" s="6" t="s">
        <v>378</v>
      </c>
      <c r="F73" s="6" t="s">
        <v>455</v>
      </c>
      <c r="G73" s="6"/>
    </row>
    <row r="74" customFormat="false" ht="15" hidden="false" customHeight="false" outlineLevel="0" collapsed="false">
      <c r="A74" s="7" t="s">
        <v>665</v>
      </c>
      <c r="B74" s="7" t="s">
        <v>666</v>
      </c>
      <c r="C74" s="7" t="s">
        <v>635</v>
      </c>
      <c r="D74" s="7" t="s">
        <v>503</v>
      </c>
      <c r="E74" s="7" t="s">
        <v>378</v>
      </c>
      <c r="F74" s="7" t="s">
        <v>455</v>
      </c>
      <c r="G74" s="7" t="s">
        <v>528</v>
      </c>
    </row>
    <row r="75" customFormat="false" ht="15" hidden="false" customHeight="false" outlineLevel="0" collapsed="false">
      <c r="A75" s="7" t="s">
        <v>667</v>
      </c>
      <c r="B75" s="7" t="s">
        <v>668</v>
      </c>
      <c r="C75" s="7" t="s">
        <v>635</v>
      </c>
      <c r="D75" s="7" t="s">
        <v>503</v>
      </c>
      <c r="E75" s="7" t="s">
        <v>378</v>
      </c>
      <c r="F75" s="7" t="s">
        <v>455</v>
      </c>
      <c r="G75" s="7" t="s">
        <v>528</v>
      </c>
    </row>
    <row r="76" customFormat="false" ht="15" hidden="false" customHeight="false" outlineLevel="0" collapsed="false">
      <c r="A76" s="7" t="s">
        <v>669</v>
      </c>
      <c r="B76" s="7" t="s">
        <v>670</v>
      </c>
      <c r="C76" s="7" t="s">
        <v>635</v>
      </c>
      <c r="D76" s="7" t="s">
        <v>503</v>
      </c>
      <c r="E76" s="7" t="s">
        <v>378</v>
      </c>
      <c r="F76" s="7" t="s">
        <v>455</v>
      </c>
      <c r="G76" s="7" t="s">
        <v>528</v>
      </c>
    </row>
    <row r="77" customFormat="false" ht="15" hidden="false" customHeight="false" outlineLevel="0" collapsed="false">
      <c r="A77" s="7" t="s">
        <v>671</v>
      </c>
      <c r="B77" s="7" t="s">
        <v>672</v>
      </c>
      <c r="C77" s="7" t="s">
        <v>635</v>
      </c>
      <c r="D77" s="7" t="s">
        <v>503</v>
      </c>
      <c r="E77" s="7" t="s">
        <v>378</v>
      </c>
      <c r="F77" s="7" t="s">
        <v>455</v>
      </c>
      <c r="G77" s="7" t="s">
        <v>528</v>
      </c>
    </row>
    <row r="78" customFormat="false" ht="15" hidden="false" customHeight="false" outlineLevel="0" collapsed="false">
      <c r="A78" s="7" t="s">
        <v>673</v>
      </c>
      <c r="B78" s="7" t="s">
        <v>674</v>
      </c>
      <c r="C78" s="7" t="s">
        <v>635</v>
      </c>
      <c r="D78" s="7" t="s">
        <v>503</v>
      </c>
      <c r="E78" s="7" t="s">
        <v>378</v>
      </c>
      <c r="F78" s="7" t="s">
        <v>455</v>
      </c>
      <c r="G78" s="7" t="s">
        <v>528</v>
      </c>
    </row>
    <row r="79" customFormat="false" ht="15" hidden="false" customHeight="false" outlineLevel="0" collapsed="false">
      <c r="A79" s="7" t="s">
        <v>675</v>
      </c>
      <c r="B79" s="7" t="s">
        <v>676</v>
      </c>
      <c r="C79" s="7" t="s">
        <v>635</v>
      </c>
      <c r="D79" s="7" t="s">
        <v>503</v>
      </c>
      <c r="E79" s="7" t="s">
        <v>499</v>
      </c>
      <c r="F79" s="7" t="s">
        <v>628</v>
      </c>
      <c r="G79" s="7" t="s">
        <v>528</v>
      </c>
    </row>
    <row r="80" customFormat="false" ht="15" hidden="false" customHeight="false" outlineLevel="0" collapsed="false">
      <c r="A80" s="7" t="s">
        <v>677</v>
      </c>
      <c r="B80" s="7" t="s">
        <v>678</v>
      </c>
      <c r="C80" s="7" t="s">
        <v>635</v>
      </c>
      <c r="D80" s="7" t="s">
        <v>503</v>
      </c>
      <c r="E80" s="7" t="s">
        <v>499</v>
      </c>
      <c r="F80" s="7" t="s">
        <v>679</v>
      </c>
      <c r="G80" s="7" t="s">
        <v>528</v>
      </c>
    </row>
  </sheetData>
  <dataValidations count="3">
    <dataValidation allowBlank="true" errorStyle="stop" operator="between" showDropDown="false" showErrorMessage="false" showInputMessage="false" sqref="C2:C80" type="list">
      <formula1>"empresa,colaborador,obra_compliance"</formula1>
      <formula2>0</formula2>
    </dataValidation>
    <dataValidation allowBlank="true" errorStyle="stop" operator="between" showDropDown="false" showErrorMessage="false" showInputMessage="false" sqref="D2:D80" type="list">
      <formula1>"indeterminado,mensal,anual,bienal,decenal,evento_unico,vinculado_pgr,a_confirmar"</formula1>
      <formula2>0</formula2>
    </dataValidation>
    <dataValidation allowBlank="true" errorStyle="stop" operator="between" showDropDown="false" showErrorMessage="false" showInputMessage="false" sqref="E2:E80" type="list">
      <formula1>"SIM,NAO,A_CONFIRMAR"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42"/>
    <col collapsed="false" customWidth="true" hidden="false" outlineLevel="0" max="4" min="4" style="0" width="12"/>
    <col collapsed="false" customWidth="true" hidden="false" outlineLevel="0" max="5" min="5" style="0" width="34"/>
    <col collapsed="false" customWidth="true" hidden="false" outlineLevel="0" max="6" min="6" style="0" width="14"/>
    <col collapsed="false" customWidth="true" hidden="false" outlineLevel="0" max="7" min="7" style="0" width="15"/>
    <col collapsed="false" customWidth="true" hidden="false" outlineLevel="0" max="8" min="8" style="0" width="12"/>
    <col collapsed="false" customWidth="true" hidden="false" outlineLevel="0" max="9" min="9" style="0" width="30"/>
    <col collapsed="false" customWidth="true" hidden="false" outlineLevel="0" max="10" min="10" style="0" width="45"/>
  </cols>
  <sheetData>
    <row r="1" customFormat="false" ht="30" hidden="false" customHeight="true" outlineLevel="0" collapsed="false">
      <c r="A1" s="5" t="s">
        <v>680</v>
      </c>
      <c r="B1" s="5" t="s">
        <v>20</v>
      </c>
      <c r="C1" s="5" t="s">
        <v>468</v>
      </c>
      <c r="D1" s="5" t="s">
        <v>486</v>
      </c>
      <c r="E1" s="5" t="s">
        <v>681</v>
      </c>
      <c r="F1" s="5" t="s">
        <v>682</v>
      </c>
      <c r="G1" s="5" t="s">
        <v>683</v>
      </c>
      <c r="H1" s="5" t="s">
        <v>31</v>
      </c>
      <c r="I1" s="5" t="s">
        <v>684</v>
      </c>
      <c r="J1" s="5" t="s">
        <v>32</v>
      </c>
    </row>
    <row r="2" customFormat="false" ht="15" hidden="false" customHeight="false" outlineLevel="0" collapsed="false">
      <c r="A2" s="7" t="s">
        <v>685</v>
      </c>
      <c r="B2" s="7" t="s">
        <v>33</v>
      </c>
      <c r="C2" s="16" t="str">
        <f aca="false">IFERROR(INDEX(Empresas!$D:$D,MATCH(B2,Empresas!$A:$A,0)),"")</f>
        <v>56.112.624 ADEILSON FRAGOSO LEAL</v>
      </c>
      <c r="D2" s="7" t="s">
        <v>505</v>
      </c>
      <c r="E2" s="16" t="str">
        <f aca="false">IFERROR(INDEX(Doc_Catalogo!$B:$B,MATCH(D2,Doc_Catalogo!$A:$A,0)),"")</f>
        <v>CNPJ (situacao cadastral)</v>
      </c>
      <c r="F2" s="7"/>
      <c r="G2" s="13"/>
      <c r="H2" s="16" t="str">
        <f aca="true">IF(G2="","N/A",IF(G2&lt;TODAY(),"VENCIDO",IF(G2&lt;=TODAY()+30,"VENCENDO","VALIDO")))</f>
        <v>N/A</v>
      </c>
      <c r="I2" s="7"/>
      <c r="J2" s="7" t="s">
        <v>686</v>
      </c>
    </row>
    <row r="3" customFormat="false" ht="15" hidden="false" customHeight="false" outlineLevel="0" collapsed="false">
      <c r="A3" s="7" t="s">
        <v>687</v>
      </c>
      <c r="B3" s="7" t="s">
        <v>122</v>
      </c>
      <c r="C3" s="16" t="str">
        <f aca="false">IFERROR(INDEX(Empresas!$D:$D,MATCH(B3,Empresas!$A:$A,0)),"")</f>
        <v>FERNANDO PAVANE MASSEI ELEVADORES</v>
      </c>
      <c r="D3" s="7" t="s">
        <v>505</v>
      </c>
      <c r="E3" s="16" t="str">
        <f aca="false">IFERROR(INDEX(Doc_Catalogo!$B:$B,MATCH(D3,Doc_Catalogo!$A:$A,0)),"")</f>
        <v>CNPJ (situacao cadastral)</v>
      </c>
      <c r="F3" s="7"/>
      <c r="G3" s="13"/>
      <c r="H3" s="16" t="str">
        <f aca="true">IF(G3="","N/A",IF(G3&lt;TODAY(),"VENCIDO",IF(G3&lt;=TODAY()+30,"VENCENDO","VALIDO")))</f>
        <v>N/A</v>
      </c>
      <c r="I3" s="7"/>
      <c r="J3" s="7" t="s">
        <v>686</v>
      </c>
    </row>
    <row r="4" customFormat="false" ht="15" hidden="false" customHeight="false" outlineLevel="0" collapsed="false">
      <c r="A4" s="7" t="s">
        <v>688</v>
      </c>
      <c r="B4" s="7" t="s">
        <v>195</v>
      </c>
      <c r="C4" s="16" t="str">
        <f aca="false">IFERROR(INDEX(Empresas!$D:$D,MATCH(B4,Empresas!$A:$A,0)),"")</f>
        <v>GUILHERME BITENCOURT DE FREITAS</v>
      </c>
      <c r="D4" s="7" t="s">
        <v>505</v>
      </c>
      <c r="E4" s="16" t="str">
        <f aca="false">IFERROR(INDEX(Doc_Catalogo!$B:$B,MATCH(D4,Doc_Catalogo!$A:$A,0)),"")</f>
        <v>CNPJ (situacao cadastral)</v>
      </c>
      <c r="F4" s="7"/>
      <c r="G4" s="13"/>
      <c r="H4" s="16" t="str">
        <f aca="true">IF(G4="","N/A",IF(G4&lt;TODAY(),"VENCIDO",IF(G4&lt;=TODAY()+30,"VENCENDO","VALIDO")))</f>
        <v>N/A</v>
      </c>
      <c r="I4" s="7"/>
      <c r="J4" s="7" t="s">
        <v>686</v>
      </c>
    </row>
    <row r="5" customFormat="false" ht="15" hidden="false" customHeight="false" outlineLevel="0" collapsed="false">
      <c r="A5" s="7" t="s">
        <v>689</v>
      </c>
      <c r="B5" s="7" t="s">
        <v>153</v>
      </c>
      <c r="C5" s="16" t="str">
        <f aca="false">IFERROR(INDEX(Empresas!$D:$D,MATCH(B5,Empresas!$A:$A,0)),"")</f>
        <v>34.794.316 LUIS FERNANDO BUENO DE CAMARGO</v>
      </c>
      <c r="D5" s="7" t="s">
        <v>505</v>
      </c>
      <c r="E5" s="16" t="str">
        <f aca="false">IFERROR(INDEX(Doc_Catalogo!$B:$B,MATCH(D5,Doc_Catalogo!$A:$A,0)),"")</f>
        <v>CNPJ (situacao cadastral)</v>
      </c>
      <c r="F5" s="7"/>
      <c r="G5" s="13"/>
      <c r="H5" s="16" t="str">
        <f aca="true">IF(G5="","N/A",IF(G5&lt;TODAY(),"VENCIDO",IF(G5&lt;=TODAY()+30,"VENCENDO","VALIDO")))</f>
        <v>N/A</v>
      </c>
      <c r="I5" s="7"/>
      <c r="J5" s="7" t="s">
        <v>686</v>
      </c>
    </row>
    <row r="6" customFormat="false" ht="15" hidden="false" customHeight="false" outlineLevel="0" collapsed="false">
      <c r="A6" s="7" t="s">
        <v>690</v>
      </c>
      <c r="B6" s="7" t="s">
        <v>199</v>
      </c>
      <c r="C6" s="16" t="str">
        <f aca="false">IFERROR(INDEX(Empresas!$D:$D,MATCH(B6,Empresas!$A:$A,0)),"")</f>
        <v>MOSQUITO ESCADAS E ESTEIRAS ROLANTES</v>
      </c>
      <c r="D6" s="7" t="s">
        <v>505</v>
      </c>
      <c r="E6" s="16" t="str">
        <f aca="false">IFERROR(INDEX(Doc_Catalogo!$B:$B,MATCH(D6,Doc_Catalogo!$A:$A,0)),"")</f>
        <v>CNPJ (situacao cadastral)</v>
      </c>
      <c r="F6" s="7"/>
      <c r="G6" s="13"/>
      <c r="H6" s="16" t="str">
        <f aca="true">IF(G6="","N/A",IF(G6&lt;TODAY(),"VENCIDO",IF(G6&lt;=TODAY()+30,"VENCENDO","VALIDO")))</f>
        <v>N/A</v>
      </c>
      <c r="I6" s="7"/>
      <c r="J6" s="7" t="s">
        <v>686</v>
      </c>
    </row>
    <row r="7" customFormat="false" ht="15" hidden="false" customHeight="false" outlineLevel="0" collapsed="false">
      <c r="A7" s="7" t="s">
        <v>691</v>
      </c>
      <c r="B7" s="7" t="s">
        <v>171</v>
      </c>
      <c r="C7" s="16" t="str">
        <f aca="false">IFERROR(INDEX(Empresas!$D:$D,MATCH(B7,Empresas!$A:$A,0)),"")</f>
        <v>OLIVER ELEVADORES LTDA</v>
      </c>
      <c r="D7" s="7" t="s">
        <v>505</v>
      </c>
      <c r="E7" s="16" t="str">
        <f aca="false">IFERROR(INDEX(Doc_Catalogo!$B:$B,MATCH(D7,Doc_Catalogo!$A:$A,0)),"")</f>
        <v>CNPJ (situacao cadastral)</v>
      </c>
      <c r="F7" s="7"/>
      <c r="G7" s="13"/>
      <c r="H7" s="16" t="str">
        <f aca="true">IF(G7="","N/A",IF(G7&lt;TODAY(),"VENCIDO",IF(G7&lt;=TODAY()+30,"VENCENDO","VALIDO")))</f>
        <v>N/A</v>
      </c>
      <c r="I7" s="7"/>
      <c r="J7" s="7" t="s">
        <v>686</v>
      </c>
    </row>
    <row r="8" customFormat="false" ht="15" hidden="false" customHeight="false" outlineLevel="0" collapsed="false">
      <c r="A8" s="7" t="s">
        <v>692</v>
      </c>
      <c r="B8" s="7" t="s">
        <v>178</v>
      </c>
      <c r="C8" s="16" t="str">
        <f aca="false">IFERROR(INDEX(Empresas!$D:$D,MATCH(B8,Empresas!$A:$A,0)),"")</f>
        <v>RICARDO MANOEL INACIO</v>
      </c>
      <c r="D8" s="7" t="s">
        <v>505</v>
      </c>
      <c r="E8" s="16" t="str">
        <f aca="false">IFERROR(INDEX(Doc_Catalogo!$B:$B,MATCH(D8,Doc_Catalogo!$A:$A,0)),"")</f>
        <v>CNPJ (situacao cadastral)</v>
      </c>
      <c r="F8" s="7"/>
      <c r="G8" s="13"/>
      <c r="H8" s="16" t="str">
        <f aca="true">IF(G8="","N/A",IF(G8&lt;TODAY(),"VENCIDO",IF(G8&lt;=TODAY()+30,"VENCENDO","VALIDO")))</f>
        <v>N/A</v>
      </c>
      <c r="I8" s="7"/>
      <c r="J8" s="7" t="s">
        <v>686</v>
      </c>
    </row>
    <row r="9" customFormat="false" ht="15" hidden="false" customHeight="false" outlineLevel="0" collapsed="false">
      <c r="A9" s="7" t="s">
        <v>693</v>
      </c>
      <c r="B9" s="7" t="s">
        <v>185</v>
      </c>
      <c r="C9" s="16" t="str">
        <f aca="false">IFERROR(INDEX(Empresas!$D:$D,MATCH(B9,Empresas!$A:$A,0)),"")</f>
        <v>RN SCAL SERVICOS LTDA</v>
      </c>
      <c r="D9" s="7" t="s">
        <v>505</v>
      </c>
      <c r="E9" s="16" t="str">
        <f aca="false">IFERROR(INDEX(Doc_Catalogo!$B:$B,MATCH(D9,Doc_Catalogo!$A:$A,0)),"")</f>
        <v>CNPJ (situacao cadastral)</v>
      </c>
      <c r="F9" s="7"/>
      <c r="G9" s="13"/>
      <c r="H9" s="16" t="str">
        <f aca="true">IF(G9="","N/A",IF(G9&lt;TODAY(),"VENCIDO",IF(G9&lt;=TODAY()+30,"VENCENDO","VALIDO")))</f>
        <v>N/A</v>
      </c>
      <c r="I9" s="7"/>
      <c r="J9" s="7" t="s">
        <v>686</v>
      </c>
    </row>
  </sheetData>
  <dataValidations count="2">
    <dataValidation allowBlank="true" errorStyle="stop" operator="between" showDropDown="false" showErrorMessage="false" showInputMessage="false" sqref="B2:B209" type="list">
      <formula1>"EMP-001,EMP-002,EMP-003,EMP-004,EMP-005,EMP-006,EMP-007,EMP-008,EMP-009,EMP-010,EMP-011,EMP-012,EMP-013,EMP-014,EMP-015,EMP-016,EMP-017,EMP-018,EMP-019,EMP-020,EMP-001,EMP-002,EMP-003,EMP-004,EMP-005,EMP-006,EMP-007,EMP-011,EMP-012,EMP-013,EMP-014,EMP-015"</formula1>
      <formula2>0</formula2>
    </dataValidation>
    <dataValidation allowBlank="true" errorStyle="stop" operator="between" showDropDown="false" showErrorMessage="false" showInputMessage="false" sqref="D2:D209" type="list">
      <formula1>"DOC-005,DOC-006,DOC-008,DOC-010,DOC-012,DOC-014,DOC-016,DOC-018,DOC-020,DOC-022,DOC-024,DOC-026,DOC-028,DOC-030,DOC-032,DOC-049,DOC-050,DOC-051,DOC-052,DOC-053,DOC-054,DOC-055"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12"/>
    <col collapsed="false" customWidth="true" hidden="false" outlineLevel="0" max="5" min="5" style="0" width="34"/>
    <col collapsed="false" customWidth="true" hidden="false" outlineLevel="0" max="6" min="6" style="0" width="14"/>
    <col collapsed="false" customWidth="true" hidden="false" outlineLevel="0" max="7" min="7" style="0" width="15"/>
    <col collapsed="false" customWidth="true" hidden="false" outlineLevel="0" max="8" min="8" style="0" width="12"/>
    <col collapsed="false" customWidth="true" hidden="false" outlineLevel="0" max="9" min="9" style="0" width="30"/>
    <col collapsed="false" customWidth="true" hidden="false" outlineLevel="0" max="10" min="10" style="0" width="45"/>
  </cols>
  <sheetData>
    <row r="1" customFormat="false" ht="30" hidden="false" customHeight="true" outlineLevel="0" collapsed="false">
      <c r="A1" s="5" t="s">
        <v>680</v>
      </c>
      <c r="B1" s="5" t="s">
        <v>211</v>
      </c>
      <c r="C1" s="5" t="s">
        <v>371</v>
      </c>
      <c r="D1" s="5" t="s">
        <v>486</v>
      </c>
      <c r="E1" s="5" t="s">
        <v>681</v>
      </c>
      <c r="F1" s="5" t="s">
        <v>682</v>
      </c>
      <c r="G1" s="5" t="s">
        <v>683</v>
      </c>
      <c r="H1" s="5" t="s">
        <v>31</v>
      </c>
      <c r="I1" s="5" t="s">
        <v>684</v>
      </c>
      <c r="J1" s="5" t="s">
        <v>32</v>
      </c>
    </row>
    <row r="2" customFormat="false" ht="15" hidden="false" customHeight="false" outlineLevel="0" collapsed="false">
      <c r="A2" s="6" t="s">
        <v>685</v>
      </c>
      <c r="B2" s="6" t="s">
        <v>217</v>
      </c>
      <c r="C2" s="12" t="str">
        <f aca="false">IFERROR(INDEX(Colaboradores!$E:$E,MATCH(B2,Colaboradores!$A:$A,0)),"")</f>
        <v>ADEILSON FRAGOSO LEAL</v>
      </c>
      <c r="D2" s="6" t="s">
        <v>501</v>
      </c>
      <c r="E2" s="12" t="str">
        <f aca="false">IFERROR(INDEX(Doc_Catalogo!$B:$B,MATCH(D2,Doc_Catalogo!$A:$A,0)),"")</f>
        <v>ASO</v>
      </c>
      <c r="F2" s="6"/>
      <c r="G2" s="17" t="n">
        <v>46394</v>
      </c>
      <c r="H2" s="12" t="str">
        <f aca="true">IF(G2="","N/A",IF(G2&lt;TODAY(),"VENCIDO",IF(G2&lt;=TODAY()+30,"VENCENDO","VALIDO")))</f>
        <v>VALIDO</v>
      </c>
      <c r="I2" s="6"/>
      <c r="J2" s="6"/>
    </row>
    <row r="3" customFormat="false" ht="15" hidden="false" customHeight="false" outlineLevel="0" collapsed="false">
      <c r="A3" s="6" t="s">
        <v>687</v>
      </c>
      <c r="B3" s="6" t="s">
        <v>217</v>
      </c>
      <c r="C3" s="12" t="str">
        <f aca="false">IFERROR(INDEX(Colaboradores!$E:$E,MATCH(B3,Colaboradores!$A:$A,0)),"")</f>
        <v>ADEILSON FRAGOSO LEAL</v>
      </c>
      <c r="D3" s="6" t="s">
        <v>513</v>
      </c>
      <c r="E3" s="12" t="str">
        <f aca="false">IFERROR(INDEX(Doc_Catalogo!$B:$B,MATCH(D3,Doc_Catalogo!$A:$A,0)),"")</f>
        <v>Certificado da NR01 — Colaborador</v>
      </c>
      <c r="F3" s="6"/>
      <c r="G3" s="17" t="n">
        <v>46370</v>
      </c>
      <c r="H3" s="12" t="str">
        <f aca="true">IF(G3="","N/A",IF(G3&lt;TODAY(),"VENCIDO",IF(G3&lt;=TODAY()+30,"VENCENDO","VALIDO")))</f>
        <v>VALIDO</v>
      </c>
      <c r="I3" s="6"/>
      <c r="J3" s="6"/>
    </row>
    <row r="4" customFormat="false" ht="15" hidden="false" customHeight="false" outlineLevel="0" collapsed="false">
      <c r="A4" s="6" t="s">
        <v>688</v>
      </c>
      <c r="B4" s="6" t="s">
        <v>217</v>
      </c>
      <c r="C4" s="12" t="str">
        <f aca="false">IFERROR(INDEX(Colaboradores!$E:$E,MATCH(B4,Colaboradores!$A:$A,0)),"")</f>
        <v>ADEILSON FRAGOSO LEAL</v>
      </c>
      <c r="D4" s="6" t="s">
        <v>519</v>
      </c>
      <c r="E4" s="12" t="str">
        <f aca="false">IFERROR(INDEX(Doc_Catalogo!$B:$B,MATCH(D4,Doc_Catalogo!$A:$A,0)),"")</f>
        <v>Certificado da NR06 — Colaborador</v>
      </c>
      <c r="F4" s="6"/>
      <c r="G4" s="17" t="n">
        <v>45946</v>
      </c>
      <c r="H4" s="12" t="str">
        <f aca="true">IF(G4="","N/A",IF(G4&lt;TODAY(),"VENCIDO",IF(G4&lt;=TODAY()+30,"VENCENDO","VALIDO")))</f>
        <v>VENCIDO</v>
      </c>
      <c r="I4" s="6"/>
      <c r="J4" s="6"/>
    </row>
    <row r="5" customFormat="false" ht="15" hidden="false" customHeight="false" outlineLevel="0" collapsed="false">
      <c r="A5" s="6" t="s">
        <v>689</v>
      </c>
      <c r="B5" s="6" t="s">
        <v>217</v>
      </c>
      <c r="C5" s="12" t="str">
        <f aca="false">IFERROR(INDEX(Colaboradores!$E:$E,MATCH(B5,Colaboradores!$A:$A,0)),"")</f>
        <v>ADEILSON FRAGOSO LEAL</v>
      </c>
      <c r="D5" s="6" t="s">
        <v>524</v>
      </c>
      <c r="E5" s="12" t="str">
        <f aca="false">IFERROR(INDEX(Doc_Catalogo!$B:$B,MATCH(D5,Doc_Catalogo!$A:$A,0)),"")</f>
        <v>Certificado da NR10 — Colaborador</v>
      </c>
      <c r="F5" s="6"/>
      <c r="G5" s="17" t="n">
        <v>46079</v>
      </c>
      <c r="H5" s="12" t="str">
        <f aca="true">IF(G5="","N/A",IF(G5&lt;TODAY(),"VENCIDO",IF(G5&lt;=TODAY()+30,"VENCENDO","VALIDO")))</f>
        <v>VENCIDO</v>
      </c>
      <c r="I5" s="6"/>
      <c r="J5" s="6"/>
    </row>
    <row r="6" customFormat="false" ht="15" hidden="false" customHeight="false" outlineLevel="0" collapsed="false">
      <c r="A6" s="6" t="s">
        <v>690</v>
      </c>
      <c r="B6" s="6" t="s">
        <v>217</v>
      </c>
      <c r="C6" s="12" t="str">
        <f aca="false">IFERROR(INDEX(Colaboradores!$E:$E,MATCH(B6,Colaboradores!$A:$A,0)),"")</f>
        <v>ADEILSON FRAGOSO LEAL</v>
      </c>
      <c r="D6" s="6" t="s">
        <v>537</v>
      </c>
      <c r="E6" s="12" t="str">
        <f aca="false">IFERROR(INDEX(Doc_Catalogo!$B:$B,MATCH(D6,Doc_Catalogo!$A:$A,0)),"")</f>
        <v>Certificado da NR12 — Colaborador</v>
      </c>
      <c r="F6" s="6"/>
      <c r="G6" s="17" t="n">
        <v>46324</v>
      </c>
      <c r="H6" s="12" t="str">
        <f aca="true">IF(G6="","N/A",IF(G6&lt;TODAY(),"VENCIDO",IF(G6&lt;=TODAY()+30,"VENCENDO","VALIDO")))</f>
        <v>VALIDO</v>
      </c>
      <c r="I6" s="6"/>
      <c r="J6" s="6"/>
    </row>
    <row r="7" customFormat="false" ht="15" hidden="false" customHeight="false" outlineLevel="0" collapsed="false">
      <c r="A7" s="6" t="s">
        <v>691</v>
      </c>
      <c r="B7" s="6" t="s">
        <v>217</v>
      </c>
      <c r="C7" s="12" t="str">
        <f aca="false">IFERROR(INDEX(Colaboradores!$E:$E,MATCH(B7,Colaboradores!$A:$A,0)),"")</f>
        <v>ADEILSON FRAGOSO LEAL</v>
      </c>
      <c r="D7" s="6" t="s">
        <v>549</v>
      </c>
      <c r="E7" s="12" t="str">
        <f aca="false">IFERROR(INDEX(Doc_Catalogo!$B:$B,MATCH(D7,Doc_Catalogo!$A:$A,0)),"")</f>
        <v>Certificado da NR18 — Colaborador</v>
      </c>
      <c r="F7" s="6"/>
      <c r="G7" s="17" t="n">
        <v>46118</v>
      </c>
      <c r="H7" s="12" t="str">
        <f aca="true">IF(G7="","N/A",IF(G7&lt;TODAY(),"VENCIDO",IF(G7&lt;=TODAY()+30,"VENCENDO","VALIDO")))</f>
        <v>VENCIDO</v>
      </c>
      <c r="I7" s="6"/>
      <c r="J7" s="6"/>
    </row>
    <row r="8" customFormat="false" ht="15" hidden="false" customHeight="false" outlineLevel="0" collapsed="false">
      <c r="A8" s="6" t="s">
        <v>692</v>
      </c>
      <c r="B8" s="6" t="s">
        <v>217</v>
      </c>
      <c r="C8" s="12" t="str">
        <f aca="false">IFERROR(INDEX(Colaboradores!$E:$E,MATCH(B8,Colaboradores!$A:$A,0)),"")</f>
        <v>ADEILSON FRAGOSO LEAL</v>
      </c>
      <c r="D8" s="6" t="s">
        <v>565</v>
      </c>
      <c r="E8" s="12" t="str">
        <f aca="false">IFERROR(INDEX(Doc_Catalogo!$B:$B,MATCH(D8,Doc_Catalogo!$A:$A,0)),"")</f>
        <v>Certificado da NR35 — Colaborador</v>
      </c>
      <c r="F8" s="6"/>
      <c r="G8" s="17" t="n">
        <v>46092</v>
      </c>
      <c r="H8" s="12" t="str">
        <f aca="true">IF(G8="","N/A",IF(G8&lt;TODAY(),"VENCIDO",IF(G8&lt;=TODAY()+30,"VENCENDO","VALIDO")))</f>
        <v>VENCIDO</v>
      </c>
      <c r="I8" s="6"/>
      <c r="J8" s="6"/>
    </row>
    <row r="9" customFormat="false" ht="15" hidden="false" customHeight="false" outlineLevel="0" collapsed="false">
      <c r="A9" s="6" t="s">
        <v>693</v>
      </c>
      <c r="B9" s="6" t="s">
        <v>228</v>
      </c>
      <c r="C9" s="12" t="str">
        <f aca="false">IFERROR(INDEX(Colaboradores!$E:$E,MATCH(B9,Colaboradores!$A:$A,0)),"")</f>
        <v>ANTONIO DA SILVA PALACIOS</v>
      </c>
      <c r="D9" s="6" t="s">
        <v>498</v>
      </c>
      <c r="E9" s="12" t="str">
        <f aca="false">IFERROR(INDEX(Doc_Catalogo!$B:$B,MATCH(D9,Doc_Catalogo!$A:$A,0)),"")</f>
        <v>CNH</v>
      </c>
      <c r="F9" s="6"/>
      <c r="G9" s="17" t="n">
        <v>48193</v>
      </c>
      <c r="H9" s="12" t="str">
        <f aca="true">IF(G9="","N/A",IF(G9&lt;TODAY(),"VENCIDO",IF(G9&lt;=TODAY()+30,"VENCENDO","VALIDO")))</f>
        <v>VALIDO</v>
      </c>
      <c r="I9" s="6"/>
      <c r="J9" s="6"/>
    </row>
    <row r="10" customFormat="false" ht="15" hidden="false" customHeight="false" outlineLevel="0" collapsed="false">
      <c r="A10" s="6" t="s">
        <v>694</v>
      </c>
      <c r="B10" s="6" t="s">
        <v>228</v>
      </c>
      <c r="C10" s="12" t="str">
        <f aca="false">IFERROR(INDEX(Colaboradores!$E:$E,MATCH(B10,Colaboradores!$A:$A,0)),"")</f>
        <v>ANTONIO DA SILVA PALACIOS</v>
      </c>
      <c r="D10" s="6" t="s">
        <v>501</v>
      </c>
      <c r="E10" s="12" t="str">
        <f aca="false">IFERROR(INDEX(Doc_Catalogo!$B:$B,MATCH(D10,Doc_Catalogo!$A:$A,0)),"")</f>
        <v>ASO</v>
      </c>
      <c r="F10" s="6"/>
      <c r="G10" s="17" t="n">
        <v>46422</v>
      </c>
      <c r="H10" s="12" t="str">
        <f aca="true">IF(G10="","N/A",IF(G10&lt;TODAY(),"VENCIDO",IF(G10&lt;=TODAY()+30,"VENCENDO","VALIDO")))</f>
        <v>VALIDO</v>
      </c>
      <c r="I10" s="6"/>
      <c r="J10" s="6"/>
    </row>
    <row r="11" customFormat="false" ht="15" hidden="false" customHeight="false" outlineLevel="0" collapsed="false">
      <c r="A11" s="6" t="s">
        <v>695</v>
      </c>
      <c r="B11" s="6" t="s">
        <v>228</v>
      </c>
      <c r="C11" s="12" t="str">
        <f aca="false">IFERROR(INDEX(Colaboradores!$E:$E,MATCH(B11,Colaboradores!$A:$A,0)),"")</f>
        <v>ANTONIO DA SILVA PALACIOS</v>
      </c>
      <c r="D11" s="6" t="s">
        <v>524</v>
      </c>
      <c r="E11" s="12" t="str">
        <f aca="false">IFERROR(INDEX(Doc_Catalogo!$B:$B,MATCH(D11,Doc_Catalogo!$A:$A,0)),"")</f>
        <v>Certificado da NR10 — Colaborador</v>
      </c>
      <c r="F11" s="6"/>
      <c r="G11" s="17" t="n">
        <v>46545</v>
      </c>
      <c r="H11" s="12" t="str">
        <f aca="true">IF(G11="","N/A",IF(G11&lt;TODAY(),"VENCIDO",IF(G11&lt;=TODAY()+30,"VENCENDO","VALIDO")))</f>
        <v>VALIDO</v>
      </c>
      <c r="I11" s="6"/>
      <c r="J11" s="6"/>
    </row>
    <row r="12" customFormat="false" ht="15" hidden="false" customHeight="false" outlineLevel="0" collapsed="false">
      <c r="A12" s="6" t="s">
        <v>696</v>
      </c>
      <c r="B12" s="6" t="s">
        <v>228</v>
      </c>
      <c r="C12" s="12" t="str">
        <f aca="false">IFERROR(INDEX(Colaboradores!$E:$E,MATCH(B12,Colaboradores!$A:$A,0)),"")</f>
        <v>ANTONIO DA SILVA PALACIOS</v>
      </c>
      <c r="D12" s="6" t="s">
        <v>537</v>
      </c>
      <c r="E12" s="12" t="str">
        <f aca="false">IFERROR(INDEX(Doc_Catalogo!$B:$B,MATCH(D12,Doc_Catalogo!$A:$A,0)),"")</f>
        <v>Certificado da NR12 — Colaborador</v>
      </c>
      <c r="F12" s="6"/>
      <c r="G12" s="17" t="n">
        <v>46215</v>
      </c>
      <c r="H12" s="12" t="str">
        <f aca="true">IF(G12="","N/A",IF(G12&lt;TODAY(),"VENCIDO",IF(G12&lt;=TODAY()+30,"VENCENDO","VALIDO")))</f>
        <v>VENCIDO</v>
      </c>
      <c r="I12" s="6"/>
      <c r="J12" s="6"/>
    </row>
    <row r="13" customFormat="false" ht="15" hidden="false" customHeight="false" outlineLevel="0" collapsed="false">
      <c r="A13" s="6" t="s">
        <v>697</v>
      </c>
      <c r="B13" s="6" t="s">
        <v>228</v>
      </c>
      <c r="C13" s="12" t="str">
        <f aca="false">IFERROR(INDEX(Colaboradores!$E:$E,MATCH(B13,Colaboradores!$A:$A,0)),"")</f>
        <v>ANTONIO DA SILVA PALACIOS</v>
      </c>
      <c r="D13" s="6" t="s">
        <v>549</v>
      </c>
      <c r="E13" s="12" t="str">
        <f aca="false">IFERROR(INDEX(Doc_Catalogo!$B:$B,MATCH(D13,Doc_Catalogo!$A:$A,0)),"")</f>
        <v>Certificado da NR18 — Colaborador</v>
      </c>
      <c r="F13" s="6"/>
      <c r="G13" s="17" t="n">
        <v>46788</v>
      </c>
      <c r="H13" s="12" t="str">
        <f aca="true">IF(G13="","N/A",IF(G13&lt;TODAY(),"VENCIDO",IF(G13&lt;=TODAY()+30,"VENCENDO","VALIDO")))</f>
        <v>VALIDO</v>
      </c>
      <c r="I13" s="6"/>
      <c r="J13" s="6"/>
    </row>
    <row r="14" customFormat="false" ht="15" hidden="false" customHeight="false" outlineLevel="0" collapsed="false">
      <c r="A14" s="6" t="s">
        <v>698</v>
      </c>
      <c r="B14" s="6" t="s">
        <v>228</v>
      </c>
      <c r="C14" s="12" t="str">
        <f aca="false">IFERROR(INDEX(Colaboradores!$E:$E,MATCH(B14,Colaboradores!$A:$A,0)),"")</f>
        <v>ANTONIO DA SILVA PALACIOS</v>
      </c>
      <c r="D14" s="6" t="s">
        <v>553</v>
      </c>
      <c r="E14" s="12" t="str">
        <f aca="false">IFERROR(INDEX(Doc_Catalogo!$B:$B,MATCH(D14,Doc_Catalogo!$A:$A,0)),"")</f>
        <v>Certificado da NR33 — Colaborador</v>
      </c>
      <c r="F14" s="6"/>
      <c r="G14" s="17" t="n">
        <v>46424</v>
      </c>
      <c r="H14" s="12" t="str">
        <f aca="true">IF(G14="","N/A",IF(G14&lt;TODAY(),"VENCIDO",IF(G14&lt;=TODAY()+30,"VENCENDO","VALIDO")))</f>
        <v>VALIDO</v>
      </c>
      <c r="I14" s="6"/>
      <c r="J14" s="6"/>
    </row>
    <row r="15" customFormat="false" ht="15" hidden="false" customHeight="false" outlineLevel="0" collapsed="false">
      <c r="A15" s="6" t="s">
        <v>699</v>
      </c>
      <c r="B15" s="6" t="s">
        <v>228</v>
      </c>
      <c r="C15" s="12" t="str">
        <f aca="false">IFERROR(INDEX(Colaboradores!$E:$E,MATCH(B15,Colaboradores!$A:$A,0)),"")</f>
        <v>ANTONIO DA SILVA PALACIOS</v>
      </c>
      <c r="D15" s="6" t="s">
        <v>565</v>
      </c>
      <c r="E15" s="12" t="str">
        <f aca="false">IFERROR(INDEX(Doc_Catalogo!$B:$B,MATCH(D15,Doc_Catalogo!$A:$A,0)),"")</f>
        <v>Certificado da NR35 — Colaborador</v>
      </c>
      <c r="F15" s="6"/>
      <c r="G15" s="17" t="n">
        <v>46575</v>
      </c>
      <c r="H15" s="12" t="str">
        <f aca="true">IF(G15="","N/A",IF(G15&lt;TODAY(),"VENCIDO",IF(G15&lt;=TODAY()+30,"VENCENDO","VALIDO")))</f>
        <v>VALIDO</v>
      </c>
      <c r="I15" s="6"/>
      <c r="J15" s="6"/>
    </row>
    <row r="16" customFormat="false" ht="15" hidden="false" customHeight="false" outlineLevel="0" collapsed="false">
      <c r="A16" s="7" t="s">
        <v>700</v>
      </c>
      <c r="B16" s="7" t="s">
        <v>228</v>
      </c>
      <c r="C16" s="16" t="str">
        <f aca="false">IFERROR(INDEX(Colaboradores!$E:$E,MATCH(B16,Colaboradores!$A:$A,0)),"")</f>
        <v>ANTONIO DA SILVA PALACIOS</v>
      </c>
      <c r="D16" s="7" t="s">
        <v>577</v>
      </c>
      <c r="E16" s="16" t="str">
        <f aca="false">IFERROR(INDEX(Doc_Catalogo!$B:$B,MATCH(D16,Doc_Catalogo!$A:$A,0)),"")</f>
        <v>Contrato de Trabalho</v>
      </c>
      <c r="F16" s="7"/>
      <c r="G16" s="13"/>
      <c r="H16" s="16" t="str">
        <f aca="true">IF(G16="","N/A",IF(G16&lt;TODAY(),"VENCIDO",IF(G16&lt;=TODAY()+30,"VENCENDO","VALIDO")))</f>
        <v>N/A</v>
      </c>
      <c r="I16" s="7"/>
      <c r="J16" s="7" t="s">
        <v>686</v>
      </c>
    </row>
    <row r="17" customFormat="false" ht="15" hidden="false" customHeight="false" outlineLevel="0" collapsed="false">
      <c r="A17" s="7" t="s">
        <v>701</v>
      </c>
      <c r="B17" s="7" t="s">
        <v>228</v>
      </c>
      <c r="C17" s="16" t="str">
        <f aca="false">IFERROR(INDEX(Colaboradores!$E:$E,MATCH(B17,Colaboradores!$A:$A,0)),"")</f>
        <v>ANTONIO DA SILVA PALACIOS</v>
      </c>
      <c r="D17" s="7" t="s">
        <v>586</v>
      </c>
      <c r="E17" s="16" t="str">
        <f aca="false">IFERROR(INDEX(Doc_Catalogo!$B:$B,MATCH(D17,Doc_Catalogo!$A:$A,0)),"")</f>
        <v>Ordem de Servico</v>
      </c>
      <c r="F17" s="7"/>
      <c r="G17" s="13"/>
      <c r="H17" s="16" t="str">
        <f aca="true">IF(G17="","N/A",IF(G17&lt;TODAY(),"VENCIDO",IF(G17&lt;=TODAY()+30,"VENCENDO","VALIDO")))</f>
        <v>N/A</v>
      </c>
      <c r="I17" s="7"/>
      <c r="J17" s="7" t="s">
        <v>686</v>
      </c>
    </row>
    <row r="18" customFormat="false" ht="15" hidden="false" customHeight="false" outlineLevel="0" collapsed="false">
      <c r="A18" s="7" t="s">
        <v>702</v>
      </c>
      <c r="B18" s="7" t="s">
        <v>228</v>
      </c>
      <c r="C18" s="16" t="str">
        <f aca="false">IFERROR(INDEX(Colaboradores!$E:$E,MATCH(B18,Colaboradores!$A:$A,0)),"")</f>
        <v>ANTONIO DA SILVA PALACIOS</v>
      </c>
      <c r="D18" s="7" t="s">
        <v>588</v>
      </c>
      <c r="E18" s="16" t="str">
        <f aca="false">IFERROR(INDEX(Doc_Catalogo!$B:$B,MATCH(D18,Doc_Catalogo!$A:$A,0)),"")</f>
        <v>Ficha de EPI Atualizada</v>
      </c>
      <c r="F18" s="7"/>
      <c r="G18" s="13"/>
      <c r="H18" s="16" t="str">
        <f aca="true">IF(G18="","N/A",IF(G18&lt;TODAY(),"VENCIDO",IF(G18&lt;=TODAY()+30,"VENCENDO","VALIDO")))</f>
        <v>N/A</v>
      </c>
      <c r="I18" s="7"/>
      <c r="J18" s="7" t="s">
        <v>686</v>
      </c>
    </row>
    <row r="19" customFormat="false" ht="15" hidden="false" customHeight="false" outlineLevel="0" collapsed="false">
      <c r="A19" s="6" t="s">
        <v>703</v>
      </c>
      <c r="B19" s="6" t="s">
        <v>231</v>
      </c>
      <c r="C19" s="12" t="str">
        <f aca="false">IFERROR(INDEX(Colaboradores!$E:$E,MATCH(B19,Colaboradores!$A:$A,0)),"")</f>
        <v>SERGIO MARCOS LEONCIO</v>
      </c>
      <c r="D19" s="6" t="s">
        <v>498</v>
      </c>
      <c r="E19" s="12" t="str">
        <f aca="false">IFERROR(INDEX(Doc_Catalogo!$B:$B,MATCH(D19,Doc_Catalogo!$A:$A,0)),"")</f>
        <v>CNH</v>
      </c>
      <c r="F19" s="6"/>
      <c r="G19" s="17" t="n">
        <v>46537</v>
      </c>
      <c r="H19" s="12" t="str">
        <f aca="true">IF(G19="","N/A",IF(G19&lt;TODAY(),"VENCIDO",IF(G19&lt;=TODAY()+30,"VENCENDO","VALIDO")))</f>
        <v>VALIDO</v>
      </c>
      <c r="I19" s="6"/>
      <c r="J19" s="6"/>
    </row>
    <row r="20" customFormat="false" ht="15" hidden="false" customHeight="false" outlineLevel="0" collapsed="false">
      <c r="A20" s="6" t="s">
        <v>704</v>
      </c>
      <c r="B20" s="6" t="s">
        <v>231</v>
      </c>
      <c r="C20" s="12" t="str">
        <f aca="false">IFERROR(INDEX(Colaboradores!$E:$E,MATCH(B20,Colaboradores!$A:$A,0)),"")</f>
        <v>SERGIO MARCOS LEONCIO</v>
      </c>
      <c r="D20" s="6" t="s">
        <v>501</v>
      </c>
      <c r="E20" s="12" t="str">
        <f aca="false">IFERROR(INDEX(Doc_Catalogo!$B:$B,MATCH(D20,Doc_Catalogo!$A:$A,0)),"")</f>
        <v>ASO</v>
      </c>
      <c r="F20" s="6"/>
      <c r="G20" s="17" t="n">
        <v>46422</v>
      </c>
      <c r="H20" s="12" t="str">
        <f aca="true">IF(G20="","N/A",IF(G20&lt;TODAY(),"VENCIDO",IF(G20&lt;=TODAY()+30,"VENCENDO","VALIDO")))</f>
        <v>VALIDO</v>
      </c>
      <c r="I20" s="6"/>
      <c r="J20" s="6"/>
    </row>
    <row r="21" customFormat="false" ht="15" hidden="false" customHeight="false" outlineLevel="0" collapsed="false">
      <c r="A21" s="6" t="s">
        <v>705</v>
      </c>
      <c r="B21" s="6" t="s">
        <v>231</v>
      </c>
      <c r="C21" s="12" t="str">
        <f aca="false">IFERROR(INDEX(Colaboradores!$E:$E,MATCH(B21,Colaboradores!$A:$A,0)),"")</f>
        <v>SERGIO MARCOS LEONCIO</v>
      </c>
      <c r="D21" s="6" t="s">
        <v>524</v>
      </c>
      <c r="E21" s="12" t="str">
        <f aca="false">IFERROR(INDEX(Doc_Catalogo!$B:$B,MATCH(D21,Doc_Catalogo!$A:$A,0)),"")</f>
        <v>Certificado da NR10 — Colaborador</v>
      </c>
      <c r="F21" s="6"/>
      <c r="G21" s="17" t="n">
        <v>46796</v>
      </c>
      <c r="H21" s="12" t="str">
        <f aca="true">IF(G21="","N/A",IF(G21&lt;TODAY(),"VENCIDO",IF(G21&lt;=TODAY()+30,"VENCENDO","VALIDO")))</f>
        <v>VALIDO</v>
      </c>
      <c r="I21" s="6"/>
      <c r="J21" s="6"/>
    </row>
    <row r="22" customFormat="false" ht="15" hidden="false" customHeight="false" outlineLevel="0" collapsed="false">
      <c r="A22" s="6" t="s">
        <v>706</v>
      </c>
      <c r="B22" s="6" t="s">
        <v>231</v>
      </c>
      <c r="C22" s="12" t="str">
        <f aca="false">IFERROR(INDEX(Colaboradores!$E:$E,MATCH(B22,Colaboradores!$A:$A,0)),"")</f>
        <v>SERGIO MARCOS LEONCIO</v>
      </c>
      <c r="D22" s="6" t="s">
        <v>537</v>
      </c>
      <c r="E22" s="12" t="str">
        <f aca="false">IFERROR(INDEX(Doc_Catalogo!$B:$B,MATCH(D22,Doc_Catalogo!$A:$A,0)),"")</f>
        <v>Certificado da NR12 — Colaborador</v>
      </c>
      <c r="F22" s="6"/>
      <c r="G22" s="17" t="n">
        <v>46786</v>
      </c>
      <c r="H22" s="12" t="str">
        <f aca="true">IF(G22="","N/A",IF(G22&lt;TODAY(),"VENCIDO",IF(G22&lt;=TODAY()+30,"VENCENDO","VALIDO")))</f>
        <v>VALIDO</v>
      </c>
      <c r="I22" s="6"/>
      <c r="J22" s="6"/>
    </row>
    <row r="23" customFormat="false" ht="15" hidden="false" customHeight="false" outlineLevel="0" collapsed="false">
      <c r="A23" s="6" t="s">
        <v>707</v>
      </c>
      <c r="B23" s="6" t="s">
        <v>231</v>
      </c>
      <c r="C23" s="12" t="str">
        <f aca="false">IFERROR(INDEX(Colaboradores!$E:$E,MATCH(B23,Colaboradores!$A:$A,0)),"")</f>
        <v>SERGIO MARCOS LEONCIO</v>
      </c>
      <c r="D23" s="6" t="s">
        <v>549</v>
      </c>
      <c r="E23" s="12" t="str">
        <f aca="false">IFERROR(INDEX(Doc_Catalogo!$B:$B,MATCH(D23,Doc_Catalogo!$A:$A,0)),"")</f>
        <v>Certificado da NR18 — Colaborador</v>
      </c>
      <c r="F23" s="6"/>
      <c r="G23" s="17" t="n">
        <v>46788</v>
      </c>
      <c r="H23" s="12" t="str">
        <f aca="true">IF(G23="","N/A",IF(G23&lt;TODAY(),"VENCIDO",IF(G23&lt;=TODAY()+30,"VENCENDO","VALIDO")))</f>
        <v>VALIDO</v>
      </c>
      <c r="I23" s="6"/>
      <c r="J23" s="6"/>
    </row>
    <row r="24" customFormat="false" ht="15" hidden="false" customHeight="false" outlineLevel="0" collapsed="false">
      <c r="A24" s="6" t="s">
        <v>708</v>
      </c>
      <c r="B24" s="6" t="s">
        <v>231</v>
      </c>
      <c r="C24" s="12" t="str">
        <f aca="false">IFERROR(INDEX(Colaboradores!$E:$E,MATCH(B24,Colaboradores!$A:$A,0)),"")</f>
        <v>SERGIO MARCOS LEONCIO</v>
      </c>
      <c r="D24" s="6" t="s">
        <v>553</v>
      </c>
      <c r="E24" s="12" t="str">
        <f aca="false">IFERROR(INDEX(Doc_Catalogo!$B:$B,MATCH(D24,Doc_Catalogo!$A:$A,0)),"")</f>
        <v>Certificado da NR33 — Colaborador</v>
      </c>
      <c r="F24" s="6"/>
      <c r="G24" s="17" t="n">
        <v>46424</v>
      </c>
      <c r="H24" s="12" t="str">
        <f aca="true">IF(G24="","N/A",IF(G24&lt;TODAY(),"VENCIDO",IF(G24&lt;=TODAY()+30,"VENCENDO","VALIDO")))</f>
        <v>VALIDO</v>
      </c>
      <c r="I24" s="6"/>
      <c r="J24" s="6"/>
    </row>
    <row r="25" customFormat="false" ht="15" hidden="false" customHeight="false" outlineLevel="0" collapsed="false">
      <c r="A25" s="6" t="s">
        <v>709</v>
      </c>
      <c r="B25" s="6" t="s">
        <v>231</v>
      </c>
      <c r="C25" s="12" t="str">
        <f aca="false">IFERROR(INDEX(Colaboradores!$E:$E,MATCH(B25,Colaboradores!$A:$A,0)),"")</f>
        <v>SERGIO MARCOS LEONCIO</v>
      </c>
      <c r="D25" s="6" t="s">
        <v>565</v>
      </c>
      <c r="E25" s="12" t="str">
        <f aca="false">IFERROR(INDEX(Doc_Catalogo!$B:$B,MATCH(D25,Doc_Catalogo!$A:$A,0)),"")</f>
        <v>Certificado da NR35 — Colaborador</v>
      </c>
      <c r="F25" s="6"/>
      <c r="G25" s="17" t="n">
        <v>46785</v>
      </c>
      <c r="H25" s="12" t="str">
        <f aca="true">IF(G25="","N/A",IF(G25&lt;TODAY(),"VENCIDO",IF(G25&lt;=TODAY()+30,"VENCENDO","VALIDO")))</f>
        <v>VALIDO</v>
      </c>
      <c r="I25" s="6"/>
      <c r="J25" s="6"/>
    </row>
    <row r="26" customFormat="false" ht="15" hidden="false" customHeight="false" outlineLevel="0" collapsed="false">
      <c r="A26" s="7" t="s">
        <v>710</v>
      </c>
      <c r="B26" s="7" t="s">
        <v>231</v>
      </c>
      <c r="C26" s="16" t="str">
        <f aca="false">IFERROR(INDEX(Colaboradores!$E:$E,MATCH(B26,Colaboradores!$A:$A,0)),"")</f>
        <v>SERGIO MARCOS LEONCIO</v>
      </c>
      <c r="D26" s="7" t="s">
        <v>577</v>
      </c>
      <c r="E26" s="16" t="str">
        <f aca="false">IFERROR(INDEX(Doc_Catalogo!$B:$B,MATCH(D26,Doc_Catalogo!$A:$A,0)),"")</f>
        <v>Contrato de Trabalho</v>
      </c>
      <c r="F26" s="7"/>
      <c r="G26" s="13"/>
      <c r="H26" s="16" t="str">
        <f aca="true">IF(G26="","N/A",IF(G26&lt;TODAY(),"VENCIDO",IF(G26&lt;=TODAY()+30,"VENCENDO","VALIDO")))</f>
        <v>N/A</v>
      </c>
      <c r="I26" s="7"/>
      <c r="J26" s="7" t="s">
        <v>686</v>
      </c>
    </row>
    <row r="27" customFormat="false" ht="15" hidden="false" customHeight="false" outlineLevel="0" collapsed="false">
      <c r="A27" s="7" t="s">
        <v>711</v>
      </c>
      <c r="B27" s="7" t="s">
        <v>231</v>
      </c>
      <c r="C27" s="16" t="str">
        <f aca="false">IFERROR(INDEX(Colaboradores!$E:$E,MATCH(B27,Colaboradores!$A:$A,0)),"")</f>
        <v>SERGIO MARCOS LEONCIO</v>
      </c>
      <c r="D27" s="7" t="s">
        <v>586</v>
      </c>
      <c r="E27" s="16" t="str">
        <f aca="false">IFERROR(INDEX(Doc_Catalogo!$B:$B,MATCH(D27,Doc_Catalogo!$A:$A,0)),"")</f>
        <v>Ordem de Servico</v>
      </c>
      <c r="F27" s="7"/>
      <c r="G27" s="13"/>
      <c r="H27" s="16" t="str">
        <f aca="true">IF(G27="","N/A",IF(G27&lt;TODAY(),"VENCIDO",IF(G27&lt;=TODAY()+30,"VENCENDO","VALIDO")))</f>
        <v>N/A</v>
      </c>
      <c r="I27" s="7"/>
      <c r="J27" s="7" t="s">
        <v>686</v>
      </c>
    </row>
    <row r="28" customFormat="false" ht="15" hidden="false" customHeight="false" outlineLevel="0" collapsed="false">
      <c r="A28" s="7" t="s">
        <v>712</v>
      </c>
      <c r="B28" s="7" t="s">
        <v>231</v>
      </c>
      <c r="C28" s="16" t="str">
        <f aca="false">IFERROR(INDEX(Colaboradores!$E:$E,MATCH(B28,Colaboradores!$A:$A,0)),"")</f>
        <v>SERGIO MARCOS LEONCIO</v>
      </c>
      <c r="D28" s="7" t="s">
        <v>588</v>
      </c>
      <c r="E28" s="16" t="str">
        <f aca="false">IFERROR(INDEX(Doc_Catalogo!$B:$B,MATCH(D28,Doc_Catalogo!$A:$A,0)),"")</f>
        <v>Ficha de EPI Atualizada</v>
      </c>
      <c r="F28" s="7"/>
      <c r="G28" s="13"/>
      <c r="H28" s="16" t="str">
        <f aca="true">IF(G28="","N/A",IF(G28&lt;TODAY(),"VENCIDO",IF(G28&lt;=TODAY()+30,"VENCENDO","VALIDO")))</f>
        <v>N/A</v>
      </c>
      <c r="I28" s="7"/>
      <c r="J28" s="7" t="s">
        <v>686</v>
      </c>
    </row>
    <row r="29" customFormat="false" ht="15" hidden="false" customHeight="false" outlineLevel="0" collapsed="false">
      <c r="A29" s="6" t="s">
        <v>713</v>
      </c>
      <c r="B29" s="6" t="s">
        <v>234</v>
      </c>
      <c r="C29" s="12" t="str">
        <f aca="false">IFERROR(INDEX(Colaboradores!$E:$E,MATCH(B29,Colaboradores!$A:$A,0)),"")</f>
        <v>SIDNEY ALVES DOS SANTOS</v>
      </c>
      <c r="D29" s="6" t="s">
        <v>498</v>
      </c>
      <c r="E29" s="12" t="str">
        <f aca="false">IFERROR(INDEX(Doc_Catalogo!$B:$B,MATCH(D29,Doc_Catalogo!$A:$A,0)),"")</f>
        <v>CNH</v>
      </c>
      <c r="F29" s="6"/>
      <c r="G29" s="17" t="n">
        <v>49329</v>
      </c>
      <c r="H29" s="12" t="str">
        <f aca="true">IF(G29="","N/A",IF(G29&lt;TODAY(),"VENCIDO",IF(G29&lt;=TODAY()+30,"VENCENDO","VALIDO")))</f>
        <v>VALIDO</v>
      </c>
      <c r="I29" s="6"/>
      <c r="J29" s="6"/>
    </row>
    <row r="30" customFormat="false" ht="15" hidden="false" customHeight="false" outlineLevel="0" collapsed="false">
      <c r="A30" s="6" t="s">
        <v>714</v>
      </c>
      <c r="B30" s="6" t="s">
        <v>234</v>
      </c>
      <c r="C30" s="12" t="str">
        <f aca="false">IFERROR(INDEX(Colaboradores!$E:$E,MATCH(B30,Colaboradores!$A:$A,0)),"")</f>
        <v>SIDNEY ALVES DOS SANTOS</v>
      </c>
      <c r="D30" s="6" t="s">
        <v>501</v>
      </c>
      <c r="E30" s="12" t="str">
        <f aca="false">IFERROR(INDEX(Doc_Catalogo!$B:$B,MATCH(D30,Doc_Catalogo!$A:$A,0)),"")</f>
        <v>ASO</v>
      </c>
      <c r="F30" s="6"/>
      <c r="G30" s="17" t="n">
        <v>46422</v>
      </c>
      <c r="H30" s="12" t="str">
        <f aca="true">IF(G30="","N/A",IF(G30&lt;TODAY(),"VENCIDO",IF(G30&lt;=TODAY()+30,"VENCENDO","VALIDO")))</f>
        <v>VALIDO</v>
      </c>
      <c r="I30" s="6"/>
      <c r="J30" s="6"/>
    </row>
    <row r="31" customFormat="false" ht="15" hidden="false" customHeight="false" outlineLevel="0" collapsed="false">
      <c r="A31" s="6" t="s">
        <v>715</v>
      </c>
      <c r="B31" s="6" t="s">
        <v>234</v>
      </c>
      <c r="C31" s="12" t="str">
        <f aca="false">IFERROR(INDEX(Colaboradores!$E:$E,MATCH(B31,Colaboradores!$A:$A,0)),"")</f>
        <v>SIDNEY ALVES DOS SANTOS</v>
      </c>
      <c r="D31" s="6" t="s">
        <v>524</v>
      </c>
      <c r="E31" s="12" t="str">
        <f aca="false">IFERROR(INDEX(Doc_Catalogo!$B:$B,MATCH(D31,Doc_Catalogo!$A:$A,0)),"")</f>
        <v>Certificado da NR10 — Colaborador</v>
      </c>
      <c r="F31" s="6"/>
      <c r="G31" s="17" t="n">
        <v>46796</v>
      </c>
      <c r="H31" s="12" t="str">
        <f aca="true">IF(G31="","N/A",IF(G31&lt;TODAY(),"VENCIDO",IF(G31&lt;=TODAY()+30,"VENCENDO","VALIDO")))</f>
        <v>VALIDO</v>
      </c>
      <c r="I31" s="6"/>
      <c r="J31" s="6"/>
    </row>
    <row r="32" customFormat="false" ht="15" hidden="false" customHeight="false" outlineLevel="0" collapsed="false">
      <c r="A32" s="6" t="s">
        <v>716</v>
      </c>
      <c r="B32" s="6" t="s">
        <v>234</v>
      </c>
      <c r="C32" s="12" t="str">
        <f aca="false">IFERROR(INDEX(Colaboradores!$E:$E,MATCH(B32,Colaboradores!$A:$A,0)),"")</f>
        <v>SIDNEY ALVES DOS SANTOS</v>
      </c>
      <c r="D32" s="6" t="s">
        <v>537</v>
      </c>
      <c r="E32" s="12" t="str">
        <f aca="false">IFERROR(INDEX(Doc_Catalogo!$B:$B,MATCH(D32,Doc_Catalogo!$A:$A,0)),"")</f>
        <v>Certificado da NR12 — Colaborador</v>
      </c>
      <c r="F32" s="6"/>
      <c r="G32" s="17" t="n">
        <v>46786</v>
      </c>
      <c r="H32" s="12" t="str">
        <f aca="true">IF(G32="","N/A",IF(G32&lt;TODAY(),"VENCIDO",IF(G32&lt;=TODAY()+30,"VENCENDO","VALIDO")))</f>
        <v>VALIDO</v>
      </c>
      <c r="I32" s="6"/>
      <c r="J32" s="6"/>
    </row>
    <row r="33" customFormat="false" ht="15" hidden="false" customHeight="false" outlineLevel="0" collapsed="false">
      <c r="A33" s="6" t="s">
        <v>717</v>
      </c>
      <c r="B33" s="6" t="s">
        <v>234</v>
      </c>
      <c r="C33" s="12" t="str">
        <f aca="false">IFERROR(INDEX(Colaboradores!$E:$E,MATCH(B33,Colaboradores!$A:$A,0)),"")</f>
        <v>SIDNEY ALVES DOS SANTOS</v>
      </c>
      <c r="D33" s="6" t="s">
        <v>549</v>
      </c>
      <c r="E33" s="12" t="str">
        <f aca="false">IFERROR(INDEX(Doc_Catalogo!$B:$B,MATCH(D33,Doc_Catalogo!$A:$A,0)),"")</f>
        <v>Certificado da NR18 — Colaborador</v>
      </c>
      <c r="F33" s="6"/>
      <c r="G33" s="17" t="n">
        <v>46788</v>
      </c>
      <c r="H33" s="12" t="str">
        <f aca="true">IF(G33="","N/A",IF(G33&lt;TODAY(),"VENCIDO",IF(G33&lt;=TODAY()+30,"VENCENDO","VALIDO")))</f>
        <v>VALIDO</v>
      </c>
      <c r="I33" s="6"/>
      <c r="J33" s="6"/>
    </row>
    <row r="34" customFormat="false" ht="15" hidden="false" customHeight="false" outlineLevel="0" collapsed="false">
      <c r="A34" s="6" t="s">
        <v>718</v>
      </c>
      <c r="B34" s="6" t="s">
        <v>234</v>
      </c>
      <c r="C34" s="12" t="str">
        <f aca="false">IFERROR(INDEX(Colaboradores!$E:$E,MATCH(B34,Colaboradores!$A:$A,0)),"")</f>
        <v>SIDNEY ALVES DOS SANTOS</v>
      </c>
      <c r="D34" s="6" t="s">
        <v>553</v>
      </c>
      <c r="E34" s="12" t="str">
        <f aca="false">IFERROR(INDEX(Doc_Catalogo!$B:$B,MATCH(D34,Doc_Catalogo!$A:$A,0)),"")</f>
        <v>Certificado da NR33 — Colaborador</v>
      </c>
      <c r="F34" s="6"/>
      <c r="G34" s="17" t="n">
        <v>46424</v>
      </c>
      <c r="H34" s="12" t="str">
        <f aca="true">IF(G34="","N/A",IF(G34&lt;TODAY(),"VENCIDO",IF(G34&lt;=TODAY()+30,"VENCENDO","VALIDO")))</f>
        <v>VALIDO</v>
      </c>
      <c r="I34" s="6"/>
      <c r="J34" s="6"/>
    </row>
    <row r="35" customFormat="false" ht="15" hidden="false" customHeight="false" outlineLevel="0" collapsed="false">
      <c r="A35" s="6" t="s">
        <v>719</v>
      </c>
      <c r="B35" s="6" t="s">
        <v>234</v>
      </c>
      <c r="C35" s="12" t="str">
        <f aca="false">IFERROR(INDEX(Colaboradores!$E:$E,MATCH(B35,Colaboradores!$A:$A,0)),"")</f>
        <v>SIDNEY ALVES DOS SANTOS</v>
      </c>
      <c r="D35" s="6" t="s">
        <v>565</v>
      </c>
      <c r="E35" s="12" t="str">
        <f aca="false">IFERROR(INDEX(Doc_Catalogo!$B:$B,MATCH(D35,Doc_Catalogo!$A:$A,0)),"")</f>
        <v>Certificado da NR35 — Colaborador</v>
      </c>
      <c r="F35" s="6"/>
      <c r="G35" s="17" t="n">
        <v>46785</v>
      </c>
      <c r="H35" s="12" t="str">
        <f aca="true">IF(G35="","N/A",IF(G35&lt;TODAY(),"VENCIDO",IF(G35&lt;=TODAY()+30,"VENCENDO","VALIDO")))</f>
        <v>VALIDO</v>
      </c>
      <c r="I35" s="6"/>
      <c r="J35" s="6"/>
    </row>
    <row r="36" customFormat="false" ht="15" hidden="false" customHeight="false" outlineLevel="0" collapsed="false">
      <c r="A36" s="7" t="s">
        <v>720</v>
      </c>
      <c r="B36" s="7" t="s">
        <v>234</v>
      </c>
      <c r="C36" s="16" t="str">
        <f aca="false">IFERROR(INDEX(Colaboradores!$E:$E,MATCH(B36,Colaboradores!$A:$A,0)),"")</f>
        <v>SIDNEY ALVES DOS SANTOS</v>
      </c>
      <c r="D36" s="7" t="s">
        <v>577</v>
      </c>
      <c r="E36" s="16" t="str">
        <f aca="false">IFERROR(INDEX(Doc_Catalogo!$B:$B,MATCH(D36,Doc_Catalogo!$A:$A,0)),"")</f>
        <v>Contrato de Trabalho</v>
      </c>
      <c r="F36" s="7"/>
      <c r="G36" s="13"/>
      <c r="H36" s="16" t="str">
        <f aca="true">IF(G36="","N/A",IF(G36&lt;TODAY(),"VENCIDO",IF(G36&lt;=TODAY()+30,"VENCENDO","VALIDO")))</f>
        <v>N/A</v>
      </c>
      <c r="I36" s="7"/>
      <c r="J36" s="7" t="s">
        <v>686</v>
      </c>
    </row>
    <row r="37" customFormat="false" ht="15" hidden="false" customHeight="false" outlineLevel="0" collapsed="false">
      <c r="A37" s="7" t="s">
        <v>721</v>
      </c>
      <c r="B37" s="7" t="s">
        <v>234</v>
      </c>
      <c r="C37" s="16" t="str">
        <f aca="false">IFERROR(INDEX(Colaboradores!$E:$E,MATCH(B37,Colaboradores!$A:$A,0)),"")</f>
        <v>SIDNEY ALVES DOS SANTOS</v>
      </c>
      <c r="D37" s="7" t="s">
        <v>586</v>
      </c>
      <c r="E37" s="16" t="str">
        <f aca="false">IFERROR(INDEX(Doc_Catalogo!$B:$B,MATCH(D37,Doc_Catalogo!$A:$A,0)),"")</f>
        <v>Ordem de Servico</v>
      </c>
      <c r="F37" s="7"/>
      <c r="G37" s="13"/>
      <c r="H37" s="16" t="str">
        <f aca="true">IF(G37="","N/A",IF(G37&lt;TODAY(),"VENCIDO",IF(G37&lt;=TODAY()+30,"VENCENDO","VALIDO")))</f>
        <v>N/A</v>
      </c>
      <c r="I37" s="7"/>
      <c r="J37" s="7" t="s">
        <v>686</v>
      </c>
    </row>
    <row r="38" customFormat="false" ht="15" hidden="false" customHeight="false" outlineLevel="0" collapsed="false">
      <c r="A38" s="7" t="s">
        <v>722</v>
      </c>
      <c r="B38" s="7" t="s">
        <v>234</v>
      </c>
      <c r="C38" s="16" t="str">
        <f aca="false">IFERROR(INDEX(Colaboradores!$E:$E,MATCH(B38,Colaboradores!$A:$A,0)),"")</f>
        <v>SIDNEY ALVES DOS SANTOS</v>
      </c>
      <c r="D38" s="7" t="s">
        <v>588</v>
      </c>
      <c r="E38" s="16" t="str">
        <f aca="false">IFERROR(INDEX(Doc_Catalogo!$B:$B,MATCH(D38,Doc_Catalogo!$A:$A,0)),"")</f>
        <v>Ficha de EPI Atualizada</v>
      </c>
      <c r="F38" s="7"/>
      <c r="G38" s="13"/>
      <c r="H38" s="16" t="str">
        <f aca="true">IF(G38="","N/A",IF(G38&lt;TODAY(),"VENCIDO",IF(G38&lt;=TODAY()+30,"VENCENDO","VALIDO")))</f>
        <v>N/A</v>
      </c>
      <c r="I38" s="7"/>
      <c r="J38" s="7" t="s">
        <v>686</v>
      </c>
    </row>
    <row r="39" customFormat="false" ht="15" hidden="false" customHeight="false" outlineLevel="0" collapsed="false">
      <c r="A39" s="6" t="s">
        <v>723</v>
      </c>
      <c r="B39" s="6" t="s">
        <v>241</v>
      </c>
      <c r="C39" s="12" t="str">
        <f aca="false">IFERROR(INDEX(Colaboradores!$E:$E,MATCH(B39,Colaboradores!$A:$A,0)),"")</f>
        <v>DANIEL SCHURT</v>
      </c>
      <c r="D39" s="6" t="s">
        <v>501</v>
      </c>
      <c r="E39" s="12" t="str">
        <f aca="false">IFERROR(INDEX(Doc_Catalogo!$B:$B,MATCH(D39,Doc_Catalogo!$A:$A,0)),"")</f>
        <v>ASO</v>
      </c>
      <c r="F39" s="6"/>
      <c r="G39" s="17" t="n">
        <v>46550</v>
      </c>
      <c r="H39" s="12" t="str">
        <f aca="true">IF(G39="","N/A",IF(G39&lt;TODAY(),"VENCIDO",IF(G39&lt;=TODAY()+30,"VENCENDO","VALIDO")))</f>
        <v>VALIDO</v>
      </c>
      <c r="I39" s="6"/>
      <c r="J39" s="6"/>
    </row>
    <row r="40" customFormat="false" ht="15" hidden="false" customHeight="false" outlineLevel="0" collapsed="false">
      <c r="A40" s="6" t="s">
        <v>724</v>
      </c>
      <c r="B40" s="6" t="s">
        <v>241</v>
      </c>
      <c r="C40" s="12" t="str">
        <f aca="false">IFERROR(INDEX(Colaboradores!$E:$E,MATCH(B40,Colaboradores!$A:$A,0)),"")</f>
        <v>DANIEL SCHURT</v>
      </c>
      <c r="D40" s="6" t="s">
        <v>519</v>
      </c>
      <c r="E40" s="12" t="str">
        <f aca="false">IFERROR(INDEX(Doc_Catalogo!$B:$B,MATCH(D40,Doc_Catalogo!$A:$A,0)),"")</f>
        <v>Certificado da NR06 — Colaborador</v>
      </c>
      <c r="F40" s="6"/>
      <c r="G40" s="17" t="n">
        <v>46539</v>
      </c>
      <c r="H40" s="12" t="str">
        <f aca="true">IF(G40="","N/A",IF(G40&lt;TODAY(),"VENCIDO",IF(G40&lt;=TODAY()+30,"VENCENDO","VALIDO")))</f>
        <v>VALIDO</v>
      </c>
      <c r="I40" s="6"/>
      <c r="J40" s="6"/>
    </row>
    <row r="41" customFormat="false" ht="15" hidden="false" customHeight="false" outlineLevel="0" collapsed="false">
      <c r="A41" s="6" t="s">
        <v>725</v>
      </c>
      <c r="B41" s="6" t="s">
        <v>241</v>
      </c>
      <c r="C41" s="12" t="str">
        <f aca="false">IFERROR(INDEX(Colaboradores!$E:$E,MATCH(B41,Colaboradores!$A:$A,0)),"")</f>
        <v>DANIEL SCHURT</v>
      </c>
      <c r="D41" s="6" t="s">
        <v>524</v>
      </c>
      <c r="E41" s="12" t="str">
        <f aca="false">IFERROR(INDEX(Doc_Catalogo!$B:$B,MATCH(D41,Doc_Catalogo!$A:$A,0)),"")</f>
        <v>Certificado da NR10 — Colaborador</v>
      </c>
      <c r="F41" s="6"/>
      <c r="G41" s="17" t="n">
        <v>46786</v>
      </c>
      <c r="H41" s="12" t="str">
        <f aca="true">IF(G41="","N/A",IF(G41&lt;TODAY(),"VENCIDO",IF(G41&lt;=TODAY()+30,"VENCENDO","VALIDO")))</f>
        <v>VALIDO</v>
      </c>
      <c r="I41" s="6"/>
      <c r="J41" s="6"/>
    </row>
    <row r="42" customFormat="false" ht="15" hidden="false" customHeight="false" outlineLevel="0" collapsed="false">
      <c r="A42" s="6" t="s">
        <v>726</v>
      </c>
      <c r="B42" s="6" t="s">
        <v>241</v>
      </c>
      <c r="C42" s="12" t="str">
        <f aca="false">IFERROR(INDEX(Colaboradores!$E:$E,MATCH(B42,Colaboradores!$A:$A,0)),"")</f>
        <v>DANIEL SCHURT</v>
      </c>
      <c r="D42" s="6" t="s">
        <v>533</v>
      </c>
      <c r="E42" s="12" t="str">
        <f aca="false">IFERROR(INDEX(Doc_Catalogo!$B:$B,MATCH(D42,Doc_Catalogo!$A:$A,0)),"")</f>
        <v>Certificado da NR11 — Colaborador</v>
      </c>
      <c r="F42" s="6"/>
      <c r="G42" s="17" t="n">
        <v>46542</v>
      </c>
      <c r="H42" s="12" t="str">
        <f aca="true">IF(G42="","N/A",IF(G42&lt;TODAY(),"VENCIDO",IF(G42&lt;=TODAY()+30,"VENCENDO","VALIDO")))</f>
        <v>VALIDO</v>
      </c>
      <c r="I42" s="6"/>
      <c r="J42" s="6"/>
    </row>
    <row r="43" customFormat="false" ht="15" hidden="false" customHeight="false" outlineLevel="0" collapsed="false">
      <c r="A43" s="6" t="s">
        <v>727</v>
      </c>
      <c r="B43" s="6" t="s">
        <v>241</v>
      </c>
      <c r="C43" s="12" t="str">
        <f aca="false">IFERROR(INDEX(Colaboradores!$E:$E,MATCH(B43,Colaboradores!$A:$A,0)),"")</f>
        <v>DANIEL SCHURT</v>
      </c>
      <c r="D43" s="6" t="s">
        <v>549</v>
      </c>
      <c r="E43" s="12" t="str">
        <f aca="false">IFERROR(INDEX(Doc_Catalogo!$B:$B,MATCH(D43,Doc_Catalogo!$A:$A,0)),"")</f>
        <v>Certificado da NR18 — Colaborador</v>
      </c>
      <c r="F43" s="6"/>
      <c r="G43" s="17" t="n">
        <v>46787</v>
      </c>
      <c r="H43" s="12" t="str">
        <f aca="true">IF(G43="","N/A",IF(G43&lt;TODAY(),"VENCIDO",IF(G43&lt;=TODAY()+30,"VENCENDO","VALIDO")))</f>
        <v>VALIDO</v>
      </c>
      <c r="I43" s="6"/>
      <c r="J43" s="6"/>
    </row>
    <row r="44" customFormat="false" ht="15" hidden="false" customHeight="false" outlineLevel="0" collapsed="false">
      <c r="A44" s="6" t="s">
        <v>728</v>
      </c>
      <c r="B44" s="6" t="s">
        <v>241</v>
      </c>
      <c r="C44" s="12" t="str">
        <f aca="false">IFERROR(INDEX(Colaboradores!$E:$E,MATCH(B44,Colaboradores!$A:$A,0)),"")</f>
        <v>DANIEL SCHURT</v>
      </c>
      <c r="D44" s="6" t="s">
        <v>553</v>
      </c>
      <c r="E44" s="12" t="str">
        <f aca="false">IFERROR(INDEX(Doc_Catalogo!$B:$B,MATCH(D44,Doc_Catalogo!$A:$A,0)),"")</f>
        <v>Certificado da NR33 — Colaborador</v>
      </c>
      <c r="F44" s="6"/>
      <c r="G44" s="17" t="n">
        <v>46541</v>
      </c>
      <c r="H44" s="12" t="str">
        <f aca="true">IF(G44="","N/A",IF(G44&lt;TODAY(),"VENCIDO",IF(G44&lt;=TODAY()+30,"VENCENDO","VALIDO")))</f>
        <v>VALIDO</v>
      </c>
      <c r="I44" s="6"/>
      <c r="J44" s="6"/>
    </row>
    <row r="45" customFormat="false" ht="15" hidden="false" customHeight="false" outlineLevel="0" collapsed="false">
      <c r="A45" s="7" t="s">
        <v>729</v>
      </c>
      <c r="B45" s="7" t="s">
        <v>241</v>
      </c>
      <c r="C45" s="16" t="str">
        <f aca="false">IFERROR(INDEX(Colaboradores!$E:$E,MATCH(B45,Colaboradores!$A:$A,0)),"")</f>
        <v>DANIEL SCHURT</v>
      </c>
      <c r="D45" s="7" t="s">
        <v>565</v>
      </c>
      <c r="E45" s="16" t="str">
        <f aca="false">IFERROR(INDEX(Doc_Catalogo!$B:$B,MATCH(D45,Doc_Catalogo!$A:$A,0)),"")</f>
        <v>Certificado da NR35 — Colaborador</v>
      </c>
      <c r="F45" s="7"/>
      <c r="G45" s="13" t="n">
        <v>46788</v>
      </c>
      <c r="H45" s="16" t="str">
        <f aca="true">IF(G45="","N/A",IF(G45&lt;TODAY(),"VENCIDO",IF(G45&lt;=TODAY()+30,"VENCENDO","VALIDO")))</f>
        <v>VALIDO</v>
      </c>
      <c r="I45" s="7"/>
      <c r="J45" s="7" t="s">
        <v>730</v>
      </c>
    </row>
    <row r="46" customFormat="false" ht="15" hidden="false" customHeight="false" outlineLevel="0" collapsed="false">
      <c r="A46" s="7" t="s">
        <v>731</v>
      </c>
      <c r="B46" s="7" t="s">
        <v>241</v>
      </c>
      <c r="C46" s="16" t="str">
        <f aca="false">IFERROR(INDEX(Colaboradores!$E:$E,MATCH(B46,Colaboradores!$A:$A,0)),"")</f>
        <v>DANIEL SCHURT</v>
      </c>
      <c r="D46" s="7" t="s">
        <v>588</v>
      </c>
      <c r="E46" s="16" t="str">
        <f aca="false">IFERROR(INDEX(Doc_Catalogo!$B:$B,MATCH(D46,Doc_Catalogo!$A:$A,0)),"")</f>
        <v>Ficha de EPI Atualizada</v>
      </c>
      <c r="F46" s="7"/>
      <c r="G46" s="13"/>
      <c r="H46" s="16" t="str">
        <f aca="true">IF(G46="","N/A",IF(G46&lt;TODAY(),"VENCIDO",IF(G46&lt;=TODAY()+30,"VENCENDO","VALIDO")))</f>
        <v>N/A</v>
      </c>
      <c r="I46" s="7"/>
      <c r="J46" s="7" t="s">
        <v>686</v>
      </c>
    </row>
    <row r="47" customFormat="false" ht="15" hidden="false" customHeight="false" outlineLevel="0" collapsed="false">
      <c r="A47" s="6" t="s">
        <v>732</v>
      </c>
      <c r="B47" s="6" t="s">
        <v>311</v>
      </c>
      <c r="C47" s="12" t="str">
        <f aca="false">IFERROR(INDEX(Colaboradores!$E:$E,MATCH(B47,Colaboradores!$A:$A,0)),"")</f>
        <v>ELSON RICARDO BATISTA PINTO</v>
      </c>
      <c r="D47" s="6" t="s">
        <v>519</v>
      </c>
      <c r="E47" s="12" t="str">
        <f aca="false">IFERROR(INDEX(Doc_Catalogo!$B:$B,MATCH(D47,Doc_Catalogo!$A:$A,0)),"")</f>
        <v>Certificado da NR06 — Colaborador</v>
      </c>
      <c r="F47" s="6"/>
      <c r="G47" s="17" t="n">
        <v>46455</v>
      </c>
      <c r="H47" s="12" t="str">
        <f aca="true">IF(G47="","N/A",IF(G47&lt;TODAY(),"VENCIDO",IF(G47&lt;=TODAY()+30,"VENCENDO","VALIDO")))</f>
        <v>VALIDO</v>
      </c>
      <c r="I47" s="6"/>
      <c r="J47" s="6"/>
    </row>
    <row r="48" customFormat="false" ht="15" hidden="false" customHeight="false" outlineLevel="0" collapsed="false">
      <c r="A48" s="6" t="s">
        <v>733</v>
      </c>
      <c r="B48" s="6" t="s">
        <v>311</v>
      </c>
      <c r="C48" s="12" t="str">
        <f aca="false">IFERROR(INDEX(Colaboradores!$E:$E,MATCH(B48,Colaboradores!$A:$A,0)),"")</f>
        <v>ELSON RICARDO BATISTA PINTO</v>
      </c>
      <c r="D48" s="6" t="s">
        <v>524</v>
      </c>
      <c r="E48" s="12" t="str">
        <f aca="false">IFERROR(INDEX(Doc_Catalogo!$B:$B,MATCH(D48,Doc_Catalogo!$A:$A,0)),"")</f>
        <v>Certificado da NR10 — Colaborador</v>
      </c>
      <c r="F48" s="6"/>
      <c r="G48" s="17" t="n">
        <v>46452</v>
      </c>
      <c r="H48" s="12" t="str">
        <f aca="true">IF(G48="","N/A",IF(G48&lt;TODAY(),"VENCIDO",IF(G48&lt;=TODAY()+30,"VENCENDO","VALIDO")))</f>
        <v>VALIDO</v>
      </c>
      <c r="I48" s="6"/>
      <c r="J48" s="6"/>
    </row>
    <row r="49" customFormat="false" ht="15" hidden="false" customHeight="false" outlineLevel="0" collapsed="false">
      <c r="A49" s="6" t="s">
        <v>734</v>
      </c>
      <c r="B49" s="6" t="s">
        <v>311</v>
      </c>
      <c r="C49" s="12" t="str">
        <f aca="false">IFERROR(INDEX(Colaboradores!$E:$E,MATCH(B49,Colaboradores!$A:$A,0)),"")</f>
        <v>ELSON RICARDO BATISTA PINTO</v>
      </c>
      <c r="D49" s="6" t="s">
        <v>537</v>
      </c>
      <c r="E49" s="12" t="str">
        <f aca="false">IFERROR(INDEX(Doc_Catalogo!$B:$B,MATCH(D49,Doc_Catalogo!$A:$A,0)),"")</f>
        <v>Certificado da NR12 — Colaborador</v>
      </c>
      <c r="F49" s="6"/>
      <c r="G49" s="17" t="n">
        <v>46436</v>
      </c>
      <c r="H49" s="12" t="str">
        <f aca="true">IF(G49="","N/A",IF(G49&lt;TODAY(),"VENCIDO",IF(G49&lt;=TODAY()+30,"VENCENDO","VALIDO")))</f>
        <v>VALIDO</v>
      </c>
      <c r="I49" s="6"/>
      <c r="J49" s="6"/>
    </row>
    <row r="50" customFormat="false" ht="15" hidden="false" customHeight="false" outlineLevel="0" collapsed="false">
      <c r="A50" s="6" t="s">
        <v>735</v>
      </c>
      <c r="B50" s="6" t="s">
        <v>311</v>
      </c>
      <c r="C50" s="12" t="str">
        <f aca="false">IFERROR(INDEX(Colaboradores!$E:$E,MATCH(B50,Colaboradores!$A:$A,0)),"")</f>
        <v>ELSON RICARDO BATISTA PINTO</v>
      </c>
      <c r="D50" s="6" t="s">
        <v>549</v>
      </c>
      <c r="E50" s="12" t="str">
        <f aca="false">IFERROR(INDEX(Doc_Catalogo!$B:$B,MATCH(D50,Doc_Catalogo!$A:$A,0)),"")</f>
        <v>Certificado da NR18 — Colaborador</v>
      </c>
      <c r="F50" s="6"/>
      <c r="G50" s="17" t="n">
        <v>46447</v>
      </c>
      <c r="H50" s="12" t="str">
        <f aca="true">IF(G50="","N/A",IF(G50&lt;TODAY(),"VENCIDO",IF(G50&lt;=TODAY()+30,"VENCENDO","VALIDO")))</f>
        <v>VALIDO</v>
      </c>
      <c r="I50" s="6"/>
      <c r="J50" s="6"/>
    </row>
    <row r="51" customFormat="false" ht="15" hidden="false" customHeight="false" outlineLevel="0" collapsed="false">
      <c r="A51" s="6" t="s">
        <v>736</v>
      </c>
      <c r="B51" s="6" t="s">
        <v>311</v>
      </c>
      <c r="C51" s="12" t="str">
        <f aca="false">IFERROR(INDEX(Colaboradores!$E:$E,MATCH(B51,Colaboradores!$A:$A,0)),"")</f>
        <v>ELSON RICARDO BATISTA PINTO</v>
      </c>
      <c r="D51" s="6" t="s">
        <v>553</v>
      </c>
      <c r="E51" s="12" t="str">
        <f aca="false">IFERROR(INDEX(Doc_Catalogo!$B:$B,MATCH(D51,Doc_Catalogo!$A:$A,0)),"")</f>
        <v>Certificado da NR33 — Colaborador</v>
      </c>
      <c r="F51" s="6"/>
      <c r="G51" s="17" t="n">
        <v>46469</v>
      </c>
      <c r="H51" s="12" t="str">
        <f aca="true">IF(G51="","N/A",IF(G51&lt;TODAY(),"VENCIDO",IF(G51&lt;=TODAY()+30,"VENCENDO","VALIDO")))</f>
        <v>VALIDO</v>
      </c>
      <c r="I51" s="6"/>
      <c r="J51" s="6"/>
    </row>
    <row r="52" customFormat="false" ht="15" hidden="false" customHeight="false" outlineLevel="0" collapsed="false">
      <c r="A52" s="6" t="s">
        <v>737</v>
      </c>
      <c r="B52" s="6" t="s">
        <v>311</v>
      </c>
      <c r="C52" s="12" t="str">
        <f aca="false">IFERROR(INDEX(Colaboradores!$E:$E,MATCH(B52,Colaboradores!$A:$A,0)),"")</f>
        <v>ELSON RICARDO BATISTA PINTO</v>
      </c>
      <c r="D52" s="6" t="s">
        <v>557</v>
      </c>
      <c r="E52" s="12" t="str">
        <f aca="false">IFERROR(INDEX(Doc_Catalogo!$B:$B,MATCH(D52,Doc_Catalogo!$A:$A,0)),"")</f>
        <v>Carta de anuencia (NR33) — Colaborador</v>
      </c>
      <c r="F52" s="6"/>
      <c r="G52" s="17" t="n">
        <v>46469</v>
      </c>
      <c r="H52" s="12" t="str">
        <f aca="true">IF(G52="","N/A",IF(G52&lt;TODAY(),"VENCIDO",IF(G52&lt;=TODAY()+30,"VENCENDO","VALIDO")))</f>
        <v>VALIDO</v>
      </c>
      <c r="I52" s="6"/>
      <c r="J52" s="6"/>
    </row>
    <row r="53" customFormat="false" ht="15" hidden="false" customHeight="false" outlineLevel="0" collapsed="false">
      <c r="A53" s="6" t="s">
        <v>738</v>
      </c>
      <c r="B53" s="6" t="s">
        <v>311</v>
      </c>
      <c r="C53" s="12" t="str">
        <f aca="false">IFERROR(INDEX(Colaboradores!$E:$E,MATCH(B53,Colaboradores!$A:$A,0)),"")</f>
        <v>ELSON RICARDO BATISTA PINTO</v>
      </c>
      <c r="D53" s="6" t="s">
        <v>565</v>
      </c>
      <c r="E53" s="12" t="str">
        <f aca="false">IFERROR(INDEX(Doc_Catalogo!$B:$B,MATCH(D53,Doc_Catalogo!$A:$A,0)),"")</f>
        <v>Certificado da NR35 — Colaborador</v>
      </c>
      <c r="F53" s="6"/>
      <c r="G53" s="17" t="n">
        <v>46466</v>
      </c>
      <c r="H53" s="12" t="str">
        <f aca="true">IF(G53="","N/A",IF(G53&lt;TODAY(),"VENCIDO",IF(G53&lt;=TODAY()+30,"VENCENDO","VALIDO")))</f>
        <v>VALIDO</v>
      </c>
      <c r="I53" s="6"/>
      <c r="J53" s="6"/>
    </row>
    <row r="54" customFormat="false" ht="15" hidden="false" customHeight="false" outlineLevel="0" collapsed="false">
      <c r="A54" s="6" t="s">
        <v>739</v>
      </c>
      <c r="B54" s="6" t="s">
        <v>311</v>
      </c>
      <c r="C54" s="12" t="str">
        <f aca="false">IFERROR(INDEX(Colaboradores!$E:$E,MATCH(B54,Colaboradores!$A:$A,0)),"")</f>
        <v>ELSON RICARDO BATISTA PINTO</v>
      </c>
      <c r="D54" s="6" t="s">
        <v>569</v>
      </c>
      <c r="E54" s="12" t="str">
        <f aca="false">IFERROR(INDEX(Doc_Catalogo!$B:$B,MATCH(D54,Doc_Catalogo!$A:$A,0)),"")</f>
        <v>Carta de anuencia (NR35) — Colaborador</v>
      </c>
      <c r="F54" s="6"/>
      <c r="G54" s="17" t="n">
        <v>46466</v>
      </c>
      <c r="H54" s="12" t="str">
        <f aca="true">IF(G54="","N/A",IF(G54&lt;TODAY(),"VENCIDO",IF(G54&lt;=TODAY()+30,"VENCENDO","VALIDO")))</f>
        <v>VALIDO</v>
      </c>
      <c r="I54" s="6"/>
      <c r="J54" s="6"/>
    </row>
    <row r="55" customFormat="false" ht="15" hidden="false" customHeight="false" outlineLevel="0" collapsed="false">
      <c r="A55" s="7" t="s">
        <v>740</v>
      </c>
      <c r="B55" s="7" t="s">
        <v>311</v>
      </c>
      <c r="C55" s="16" t="str">
        <f aca="false">IFERROR(INDEX(Colaboradores!$E:$E,MATCH(B55,Colaboradores!$A:$A,0)),"")</f>
        <v>ELSON RICARDO BATISTA PINTO</v>
      </c>
      <c r="D55" s="7" t="s">
        <v>579</v>
      </c>
      <c r="E55" s="16" t="str">
        <f aca="false">IFERROR(INDEX(Doc_Catalogo!$B:$B,MATCH(D55,Doc_Catalogo!$A:$A,0)),"")</f>
        <v>Contrato Experiencia</v>
      </c>
      <c r="F55" s="7"/>
      <c r="G55" s="13"/>
      <c r="H55" s="16" t="str">
        <f aca="true">IF(G55="","N/A",IF(G55&lt;TODAY(),"VENCIDO",IF(G55&lt;=TODAY()+30,"VENCENDO","VALIDO")))</f>
        <v>N/A</v>
      </c>
      <c r="I55" s="7"/>
      <c r="J55" s="7" t="s">
        <v>686</v>
      </c>
    </row>
    <row r="56" customFormat="false" ht="15" hidden="false" customHeight="false" outlineLevel="0" collapsed="false">
      <c r="A56" s="6" t="s">
        <v>741</v>
      </c>
      <c r="B56" s="6" t="s">
        <v>308</v>
      </c>
      <c r="C56" s="12" t="str">
        <f aca="false">IFERROR(INDEX(Colaboradores!$E:$E,MATCH(B56,Colaboradores!$A:$A,0)),"")</f>
        <v>DANIEL APARECIDO DOS REIS FELICIANO</v>
      </c>
      <c r="D56" s="6" t="s">
        <v>501</v>
      </c>
      <c r="E56" s="12" t="str">
        <f aca="false">IFERROR(INDEX(Doc_Catalogo!$B:$B,MATCH(D56,Doc_Catalogo!$A:$A,0)),"")</f>
        <v>ASO</v>
      </c>
      <c r="F56" s="6"/>
      <c r="G56" s="17" t="n">
        <v>46395</v>
      </c>
      <c r="H56" s="12" t="str">
        <f aca="true">IF(G56="","N/A",IF(G56&lt;TODAY(),"VENCIDO",IF(G56&lt;=TODAY()+30,"VENCENDO","VALIDO")))</f>
        <v>VALIDO</v>
      </c>
      <c r="I56" s="6"/>
      <c r="J56" s="6"/>
    </row>
    <row r="57" customFormat="false" ht="15" hidden="false" customHeight="false" outlineLevel="0" collapsed="false">
      <c r="A57" s="6" t="s">
        <v>742</v>
      </c>
      <c r="B57" s="6" t="s">
        <v>308</v>
      </c>
      <c r="C57" s="12" t="str">
        <f aca="false">IFERROR(INDEX(Colaboradores!$E:$E,MATCH(B57,Colaboradores!$A:$A,0)),"")</f>
        <v>DANIEL APARECIDO DOS REIS FELICIANO</v>
      </c>
      <c r="D57" s="6" t="s">
        <v>524</v>
      </c>
      <c r="E57" s="12" t="str">
        <f aca="false">IFERROR(INDEX(Doc_Catalogo!$B:$B,MATCH(D57,Doc_Catalogo!$A:$A,0)),"")</f>
        <v>Certificado da NR10 — Colaborador</v>
      </c>
      <c r="F57" s="6"/>
      <c r="G57" s="17" t="n">
        <v>46911</v>
      </c>
      <c r="H57" s="12" t="str">
        <f aca="true">IF(G57="","N/A",IF(G57&lt;TODAY(),"VENCIDO",IF(G57&lt;=TODAY()+30,"VENCENDO","VALIDO")))</f>
        <v>VALIDO</v>
      </c>
      <c r="I57" s="6"/>
      <c r="J57" s="6"/>
    </row>
    <row r="58" customFormat="false" ht="15" hidden="false" customHeight="false" outlineLevel="0" collapsed="false">
      <c r="A58" s="6" t="s">
        <v>743</v>
      </c>
      <c r="B58" s="6" t="s">
        <v>308</v>
      </c>
      <c r="C58" s="12" t="str">
        <f aca="false">IFERROR(INDEX(Colaboradores!$E:$E,MATCH(B58,Colaboradores!$A:$A,0)),"")</f>
        <v>DANIEL APARECIDO DOS REIS FELICIANO</v>
      </c>
      <c r="D58" s="6" t="s">
        <v>537</v>
      </c>
      <c r="E58" s="12" t="str">
        <f aca="false">IFERROR(INDEX(Doc_Catalogo!$B:$B,MATCH(D58,Doc_Catalogo!$A:$A,0)),"")</f>
        <v>Certificado da NR12 — Colaborador</v>
      </c>
      <c r="F58" s="6"/>
      <c r="G58" s="17" t="n">
        <v>46928</v>
      </c>
      <c r="H58" s="12" t="str">
        <f aca="true">IF(G58="","N/A",IF(G58&lt;TODAY(),"VENCIDO",IF(G58&lt;=TODAY()+30,"VENCENDO","VALIDO")))</f>
        <v>VALIDO</v>
      </c>
      <c r="I58" s="6"/>
      <c r="J58" s="6"/>
    </row>
    <row r="59" customFormat="false" ht="15" hidden="false" customHeight="false" outlineLevel="0" collapsed="false">
      <c r="A59" s="6" t="s">
        <v>744</v>
      </c>
      <c r="B59" s="6" t="s">
        <v>308</v>
      </c>
      <c r="C59" s="12" t="str">
        <f aca="false">IFERROR(INDEX(Colaboradores!$E:$E,MATCH(B59,Colaboradores!$A:$A,0)),"")</f>
        <v>DANIEL APARECIDO DOS REIS FELICIANO</v>
      </c>
      <c r="D59" s="6" t="s">
        <v>549</v>
      </c>
      <c r="E59" s="12" t="str">
        <f aca="false">IFERROR(INDEX(Doc_Catalogo!$B:$B,MATCH(D59,Doc_Catalogo!$A:$A,0)),"")</f>
        <v>Certificado da NR18 — Colaborador</v>
      </c>
      <c r="F59" s="6"/>
      <c r="G59" s="17" t="n">
        <v>46397</v>
      </c>
      <c r="H59" s="12" t="str">
        <f aca="true">IF(G59="","N/A",IF(G59&lt;TODAY(),"VENCIDO",IF(G59&lt;=TODAY()+30,"VENCENDO","VALIDO")))</f>
        <v>VALIDO</v>
      </c>
      <c r="I59" s="6"/>
      <c r="J59" s="6"/>
    </row>
    <row r="60" customFormat="false" ht="15" hidden="false" customHeight="false" outlineLevel="0" collapsed="false">
      <c r="A60" s="6" t="s">
        <v>745</v>
      </c>
      <c r="B60" s="6" t="s">
        <v>308</v>
      </c>
      <c r="C60" s="12" t="str">
        <f aca="false">IFERROR(INDEX(Colaboradores!$E:$E,MATCH(B60,Colaboradores!$A:$A,0)),"")</f>
        <v>DANIEL APARECIDO DOS REIS FELICIANO</v>
      </c>
      <c r="D60" s="6" t="s">
        <v>565</v>
      </c>
      <c r="E60" s="12" t="str">
        <f aca="false">IFERROR(INDEX(Doc_Catalogo!$B:$B,MATCH(D60,Doc_Catalogo!$A:$A,0)),"")</f>
        <v>Certificado da NR35 — Colaborador</v>
      </c>
      <c r="F60" s="6"/>
      <c r="G60" s="17" t="n">
        <v>46184</v>
      </c>
      <c r="H60" s="12" t="str">
        <f aca="true">IF(G60="","N/A",IF(G60&lt;TODAY(),"VENCIDO",IF(G60&lt;=TODAY()+30,"VENCENDO","VALIDO")))</f>
        <v>VENCIDO</v>
      </c>
      <c r="I60" s="6"/>
      <c r="J60" s="6"/>
    </row>
    <row r="61" customFormat="false" ht="15" hidden="false" customHeight="false" outlineLevel="0" collapsed="false">
      <c r="A61" s="7" t="s">
        <v>746</v>
      </c>
      <c r="B61" s="7" t="s">
        <v>308</v>
      </c>
      <c r="C61" s="16" t="str">
        <f aca="false">IFERROR(INDEX(Colaboradores!$E:$E,MATCH(B61,Colaboradores!$A:$A,0)),"")</f>
        <v>DANIEL APARECIDO DOS REIS FELICIANO</v>
      </c>
      <c r="D61" s="7" t="s">
        <v>571</v>
      </c>
      <c r="E61" s="16" t="str">
        <f aca="false">IFERROR(INDEX(Doc_Catalogo!$B:$B,MATCH(D61,Doc_Catalogo!$A:$A,0)),"")</f>
        <v>Ficha de Registro</v>
      </c>
      <c r="F61" s="7"/>
      <c r="G61" s="13"/>
      <c r="H61" s="16" t="str">
        <f aca="true">IF(G61="","N/A",IF(G61&lt;TODAY(),"VENCIDO",IF(G61&lt;=TODAY()+30,"VENCENDO","VALIDO")))</f>
        <v>N/A</v>
      </c>
      <c r="I61" s="7"/>
      <c r="J61" s="7" t="s">
        <v>686</v>
      </c>
    </row>
    <row r="62" customFormat="false" ht="15" hidden="false" customHeight="false" outlineLevel="0" collapsed="false">
      <c r="A62" s="7" t="s">
        <v>747</v>
      </c>
      <c r="B62" s="7" t="s">
        <v>308</v>
      </c>
      <c r="C62" s="16" t="str">
        <f aca="false">IFERROR(INDEX(Colaboradores!$E:$E,MATCH(B62,Colaboradores!$A:$A,0)),"")</f>
        <v>DANIEL APARECIDO DOS REIS FELICIANO</v>
      </c>
      <c r="D62" s="7" t="s">
        <v>574</v>
      </c>
      <c r="E62" s="16" t="str">
        <f aca="false">IFERROR(INDEX(Doc_Catalogo!$B:$B,MATCH(D62,Doc_Catalogo!$A:$A,0)),"")</f>
        <v>E-social</v>
      </c>
      <c r="F62" s="7"/>
      <c r="G62" s="13"/>
      <c r="H62" s="16" t="str">
        <f aca="true">IF(G62="","N/A",IF(G62&lt;TODAY(),"VENCIDO",IF(G62&lt;=TODAY()+30,"VENCENDO","VALIDO")))</f>
        <v>N/A</v>
      </c>
      <c r="I62" s="7"/>
      <c r="J62" s="7" t="s">
        <v>686</v>
      </c>
    </row>
    <row r="63" customFormat="false" ht="15" hidden="false" customHeight="false" outlineLevel="0" collapsed="false">
      <c r="A63" s="7" t="s">
        <v>748</v>
      </c>
      <c r="B63" s="7" t="s">
        <v>308</v>
      </c>
      <c r="C63" s="16" t="str">
        <f aca="false">IFERROR(INDEX(Colaboradores!$E:$E,MATCH(B63,Colaboradores!$A:$A,0)),"")</f>
        <v>DANIEL APARECIDO DOS REIS FELICIANO</v>
      </c>
      <c r="D63" s="7" t="s">
        <v>579</v>
      </c>
      <c r="E63" s="16" t="str">
        <f aca="false">IFERROR(INDEX(Doc_Catalogo!$B:$B,MATCH(D63,Doc_Catalogo!$A:$A,0)),"")</f>
        <v>Contrato Experiencia</v>
      </c>
      <c r="F63" s="7"/>
      <c r="G63" s="13"/>
      <c r="H63" s="16" t="str">
        <f aca="true">IF(G63="","N/A",IF(G63&lt;TODAY(),"VENCIDO",IF(G63&lt;=TODAY()+30,"VENCENDO","VALIDO")))</f>
        <v>N/A</v>
      </c>
      <c r="I63" s="7"/>
      <c r="J63" s="7" t="s">
        <v>686</v>
      </c>
    </row>
    <row r="64" customFormat="false" ht="15" hidden="false" customHeight="false" outlineLevel="0" collapsed="false">
      <c r="A64" s="7" t="s">
        <v>749</v>
      </c>
      <c r="B64" s="7" t="s">
        <v>308</v>
      </c>
      <c r="C64" s="16" t="str">
        <f aca="false">IFERROR(INDEX(Colaboradores!$E:$E,MATCH(B64,Colaboradores!$A:$A,0)),"")</f>
        <v>DANIEL APARECIDO DOS REIS FELICIANO</v>
      </c>
      <c r="D64" s="7" t="s">
        <v>588</v>
      </c>
      <c r="E64" s="16" t="str">
        <f aca="false">IFERROR(INDEX(Doc_Catalogo!$B:$B,MATCH(D64,Doc_Catalogo!$A:$A,0)),"")</f>
        <v>Ficha de EPI Atualizada</v>
      </c>
      <c r="F64" s="7"/>
      <c r="G64" s="13"/>
      <c r="H64" s="16" t="str">
        <f aca="true">IF(G64="","N/A",IF(G64&lt;TODAY(),"VENCIDO",IF(G64&lt;=TODAY()+30,"VENCENDO","VALIDO")))</f>
        <v>N/A</v>
      </c>
      <c r="I64" s="7"/>
      <c r="J64" s="7" t="s">
        <v>686</v>
      </c>
    </row>
    <row r="65" customFormat="false" ht="15" hidden="false" customHeight="false" outlineLevel="0" collapsed="false">
      <c r="A65" s="6" t="s">
        <v>750</v>
      </c>
      <c r="B65" s="6" t="s">
        <v>321</v>
      </c>
      <c r="C65" s="12" t="str">
        <f aca="false">IFERROR(INDEX(Colaboradores!$E:$E,MATCH(B65,Colaboradores!$A:$A,0)),"")</f>
        <v>MATHEUS MOTA RIBEIRO</v>
      </c>
      <c r="D65" s="6" t="s">
        <v>498</v>
      </c>
      <c r="E65" s="12" t="str">
        <f aca="false">IFERROR(INDEX(Doc_Catalogo!$B:$B,MATCH(D65,Doc_Catalogo!$A:$A,0)),"")</f>
        <v>CNH</v>
      </c>
      <c r="F65" s="6"/>
      <c r="G65" s="17" t="n">
        <v>48744</v>
      </c>
      <c r="H65" s="12" t="str">
        <f aca="true">IF(G65="","N/A",IF(G65&lt;TODAY(),"VENCIDO",IF(G65&lt;=TODAY()+30,"VENCENDO","VALIDO")))</f>
        <v>VALIDO</v>
      </c>
      <c r="I65" s="6"/>
      <c r="J65" s="6"/>
    </row>
    <row r="66" customFormat="false" ht="15" hidden="false" customHeight="false" outlineLevel="0" collapsed="false">
      <c r="A66" s="6" t="s">
        <v>751</v>
      </c>
      <c r="B66" s="6" t="s">
        <v>321</v>
      </c>
      <c r="C66" s="12" t="str">
        <f aca="false">IFERROR(INDEX(Colaboradores!$E:$E,MATCH(B66,Colaboradores!$A:$A,0)),"")</f>
        <v>MATHEUS MOTA RIBEIRO</v>
      </c>
      <c r="D66" s="6" t="s">
        <v>501</v>
      </c>
      <c r="E66" s="12" t="str">
        <f aca="false">IFERROR(INDEX(Doc_Catalogo!$B:$B,MATCH(D66,Doc_Catalogo!$A:$A,0)),"")</f>
        <v>ASO</v>
      </c>
      <c r="F66" s="6"/>
      <c r="G66" s="17" t="n">
        <v>46322</v>
      </c>
      <c r="H66" s="12" t="str">
        <f aca="true">IF(G66="","N/A",IF(G66&lt;TODAY(),"VENCIDO",IF(G66&lt;=TODAY()+30,"VENCENDO","VALIDO")))</f>
        <v>VALIDO</v>
      </c>
      <c r="I66" s="6"/>
      <c r="J66" s="6"/>
    </row>
    <row r="67" customFormat="false" ht="15" hidden="false" customHeight="false" outlineLevel="0" collapsed="false">
      <c r="A67" s="6" t="s">
        <v>752</v>
      </c>
      <c r="B67" s="6" t="s">
        <v>321</v>
      </c>
      <c r="C67" s="12" t="str">
        <f aca="false">IFERROR(INDEX(Colaboradores!$E:$E,MATCH(B67,Colaboradores!$A:$A,0)),"")</f>
        <v>MATHEUS MOTA RIBEIRO</v>
      </c>
      <c r="D67" s="6" t="s">
        <v>524</v>
      </c>
      <c r="E67" s="12" t="str">
        <f aca="false">IFERROR(INDEX(Doc_Catalogo!$B:$B,MATCH(D67,Doc_Catalogo!$A:$A,0)),"")</f>
        <v>Certificado da NR10 — Colaborador</v>
      </c>
      <c r="F67" s="6"/>
      <c r="G67" s="17" t="n">
        <v>46689</v>
      </c>
      <c r="H67" s="12" t="str">
        <f aca="true">IF(G67="","N/A",IF(G67&lt;TODAY(),"VENCIDO",IF(G67&lt;=TODAY()+30,"VENCENDO","VALIDO")))</f>
        <v>VALIDO</v>
      </c>
      <c r="I67" s="6"/>
      <c r="J67" s="6"/>
    </row>
    <row r="68" customFormat="false" ht="15" hidden="false" customHeight="false" outlineLevel="0" collapsed="false">
      <c r="A68" s="6" t="s">
        <v>753</v>
      </c>
      <c r="B68" s="6" t="s">
        <v>321</v>
      </c>
      <c r="C68" s="12" t="str">
        <f aca="false">IFERROR(INDEX(Colaboradores!$E:$E,MATCH(B68,Colaboradores!$A:$A,0)),"")</f>
        <v>MATHEUS MOTA RIBEIRO</v>
      </c>
      <c r="D68" s="6" t="s">
        <v>537</v>
      </c>
      <c r="E68" s="12" t="str">
        <f aca="false">IFERROR(INDEX(Doc_Catalogo!$B:$B,MATCH(D68,Doc_Catalogo!$A:$A,0)),"")</f>
        <v>Certificado da NR12 — Colaborador</v>
      </c>
      <c r="F68" s="6"/>
      <c r="G68" s="17" t="n">
        <v>46690</v>
      </c>
      <c r="H68" s="12" t="str">
        <f aca="true">IF(G68="","N/A",IF(G68&lt;TODAY(),"VENCIDO",IF(G68&lt;=TODAY()+30,"VENCENDO","VALIDO")))</f>
        <v>VALIDO</v>
      </c>
      <c r="I68" s="6"/>
      <c r="J68" s="6"/>
    </row>
    <row r="69" customFormat="false" ht="15" hidden="false" customHeight="false" outlineLevel="0" collapsed="false">
      <c r="A69" s="6" t="s">
        <v>754</v>
      </c>
      <c r="B69" s="6" t="s">
        <v>321</v>
      </c>
      <c r="C69" s="12" t="str">
        <f aca="false">IFERROR(INDEX(Colaboradores!$E:$E,MATCH(B69,Colaboradores!$A:$A,0)),"")</f>
        <v>MATHEUS MOTA RIBEIRO</v>
      </c>
      <c r="D69" s="6" t="s">
        <v>549</v>
      </c>
      <c r="E69" s="12" t="str">
        <f aca="false">IFERROR(INDEX(Doc_Catalogo!$B:$B,MATCH(D69,Doc_Catalogo!$A:$A,0)),"")</f>
        <v>Certificado da NR18 — Colaborador</v>
      </c>
      <c r="F69" s="6"/>
      <c r="G69" s="17" t="n">
        <v>46691</v>
      </c>
      <c r="H69" s="12" t="str">
        <f aca="true">IF(G69="","N/A",IF(G69&lt;TODAY(),"VENCIDO",IF(G69&lt;=TODAY()+30,"VENCENDO","VALIDO")))</f>
        <v>VALIDO</v>
      </c>
      <c r="I69" s="6"/>
      <c r="J69" s="6"/>
    </row>
    <row r="70" customFormat="false" ht="15" hidden="false" customHeight="false" outlineLevel="0" collapsed="false">
      <c r="A70" s="6" t="s">
        <v>755</v>
      </c>
      <c r="B70" s="6" t="s">
        <v>321</v>
      </c>
      <c r="C70" s="12" t="str">
        <f aca="false">IFERROR(INDEX(Colaboradores!$E:$E,MATCH(B70,Colaboradores!$A:$A,0)),"")</f>
        <v>MATHEUS MOTA RIBEIRO</v>
      </c>
      <c r="D70" s="6" t="s">
        <v>553</v>
      </c>
      <c r="E70" s="12" t="str">
        <f aca="false">IFERROR(INDEX(Doc_Catalogo!$B:$B,MATCH(D70,Doc_Catalogo!$A:$A,0)),"")</f>
        <v>Certificado da NR33 — Colaborador</v>
      </c>
      <c r="F70" s="6"/>
      <c r="G70" s="17" t="n">
        <v>46329</v>
      </c>
      <c r="H70" s="12" t="str">
        <f aca="true">IF(G70="","N/A",IF(G70&lt;TODAY(),"VENCIDO",IF(G70&lt;=TODAY()+30,"VENCENDO","VALIDO")))</f>
        <v>VALIDO</v>
      </c>
      <c r="I70" s="6"/>
      <c r="J70" s="6"/>
    </row>
    <row r="71" customFormat="false" ht="15" hidden="false" customHeight="false" outlineLevel="0" collapsed="false">
      <c r="A71" s="6" t="s">
        <v>756</v>
      </c>
      <c r="B71" s="6" t="s">
        <v>321</v>
      </c>
      <c r="C71" s="12" t="str">
        <f aca="false">IFERROR(INDEX(Colaboradores!$E:$E,MATCH(B71,Colaboradores!$A:$A,0)),"")</f>
        <v>MATHEUS MOTA RIBEIRO</v>
      </c>
      <c r="D71" s="6" t="s">
        <v>565</v>
      </c>
      <c r="E71" s="12" t="str">
        <f aca="false">IFERROR(INDEX(Doc_Catalogo!$B:$B,MATCH(D71,Doc_Catalogo!$A:$A,0)),"")</f>
        <v>Certificado da NR35 — Colaborador</v>
      </c>
      <c r="F71" s="6"/>
      <c r="G71" s="17" t="n">
        <v>46664</v>
      </c>
      <c r="H71" s="12" t="str">
        <f aca="true">IF(G71="","N/A",IF(G71&lt;TODAY(),"VENCIDO",IF(G71&lt;=TODAY()+30,"VENCENDO","VALIDO")))</f>
        <v>VALIDO</v>
      </c>
      <c r="I71" s="6"/>
      <c r="J71" s="6"/>
    </row>
    <row r="72" customFormat="false" ht="15" hidden="false" customHeight="false" outlineLevel="0" collapsed="false">
      <c r="A72" s="7" t="s">
        <v>757</v>
      </c>
      <c r="B72" s="7" t="s">
        <v>321</v>
      </c>
      <c r="C72" s="16" t="str">
        <f aca="false">IFERROR(INDEX(Colaboradores!$E:$E,MATCH(B72,Colaboradores!$A:$A,0)),"")</f>
        <v>MATHEUS MOTA RIBEIRO</v>
      </c>
      <c r="D72" s="7" t="s">
        <v>571</v>
      </c>
      <c r="E72" s="16" t="str">
        <f aca="false">IFERROR(INDEX(Doc_Catalogo!$B:$B,MATCH(D72,Doc_Catalogo!$A:$A,0)),"")</f>
        <v>Ficha de Registro</v>
      </c>
      <c r="F72" s="7"/>
      <c r="G72" s="13"/>
      <c r="H72" s="16" t="str">
        <f aca="true">IF(G72="","N/A",IF(G72&lt;TODAY(),"VENCIDO",IF(G72&lt;=TODAY()+30,"VENCENDO","VALIDO")))</f>
        <v>N/A</v>
      </c>
      <c r="I72" s="7"/>
      <c r="J72" s="7" t="s">
        <v>686</v>
      </c>
    </row>
    <row r="73" customFormat="false" ht="15" hidden="false" customHeight="false" outlineLevel="0" collapsed="false">
      <c r="A73" s="7" t="s">
        <v>758</v>
      </c>
      <c r="B73" s="7" t="s">
        <v>321</v>
      </c>
      <c r="C73" s="16" t="str">
        <f aca="false">IFERROR(INDEX(Colaboradores!$E:$E,MATCH(B73,Colaboradores!$A:$A,0)),"")</f>
        <v>MATHEUS MOTA RIBEIRO</v>
      </c>
      <c r="D73" s="7" t="s">
        <v>574</v>
      </c>
      <c r="E73" s="16" t="str">
        <f aca="false">IFERROR(INDEX(Doc_Catalogo!$B:$B,MATCH(D73,Doc_Catalogo!$A:$A,0)),"")</f>
        <v>E-social</v>
      </c>
      <c r="F73" s="7"/>
      <c r="G73" s="13"/>
      <c r="H73" s="16" t="str">
        <f aca="true">IF(G73="","N/A",IF(G73&lt;TODAY(),"VENCIDO",IF(G73&lt;=TODAY()+30,"VENCENDO","VALIDO")))</f>
        <v>N/A</v>
      </c>
      <c r="I73" s="7"/>
      <c r="J73" s="7" t="s">
        <v>686</v>
      </c>
    </row>
    <row r="74" customFormat="false" ht="15" hidden="false" customHeight="false" outlineLevel="0" collapsed="false">
      <c r="A74" s="7" t="s">
        <v>759</v>
      </c>
      <c r="B74" s="7" t="s">
        <v>321</v>
      </c>
      <c r="C74" s="16" t="str">
        <f aca="false">IFERROR(INDEX(Colaboradores!$E:$E,MATCH(B74,Colaboradores!$A:$A,0)),"")</f>
        <v>MATHEUS MOTA RIBEIRO</v>
      </c>
      <c r="D74" s="7" t="s">
        <v>579</v>
      </c>
      <c r="E74" s="16" t="str">
        <f aca="false">IFERROR(INDEX(Doc_Catalogo!$B:$B,MATCH(D74,Doc_Catalogo!$A:$A,0)),"")</f>
        <v>Contrato Experiencia</v>
      </c>
      <c r="F74" s="7"/>
      <c r="G74" s="13"/>
      <c r="H74" s="16" t="str">
        <f aca="true">IF(G74="","N/A",IF(G74&lt;TODAY(),"VENCIDO",IF(G74&lt;=TODAY()+30,"VENCENDO","VALIDO")))</f>
        <v>N/A</v>
      </c>
      <c r="I74" s="7"/>
      <c r="J74" s="7" t="s">
        <v>686</v>
      </c>
    </row>
    <row r="75" customFormat="false" ht="15" hidden="false" customHeight="false" outlineLevel="0" collapsed="false">
      <c r="A75" s="7" t="s">
        <v>760</v>
      </c>
      <c r="B75" s="7" t="s">
        <v>321</v>
      </c>
      <c r="C75" s="16" t="str">
        <f aca="false">IFERROR(INDEX(Colaboradores!$E:$E,MATCH(B75,Colaboradores!$A:$A,0)),"")</f>
        <v>MATHEUS MOTA RIBEIRO</v>
      </c>
      <c r="D75" s="7" t="s">
        <v>588</v>
      </c>
      <c r="E75" s="16" t="str">
        <f aca="false">IFERROR(INDEX(Doc_Catalogo!$B:$B,MATCH(D75,Doc_Catalogo!$A:$A,0)),"")</f>
        <v>Ficha de EPI Atualizada</v>
      </c>
      <c r="F75" s="7"/>
      <c r="G75" s="13"/>
      <c r="H75" s="16" t="str">
        <f aca="true">IF(G75="","N/A",IF(G75&lt;TODAY(),"VENCIDO",IF(G75&lt;=TODAY()+30,"VENCENDO","VALIDO")))</f>
        <v>N/A</v>
      </c>
      <c r="I75" s="7"/>
      <c r="J75" s="7" t="s">
        <v>686</v>
      </c>
    </row>
    <row r="76" customFormat="false" ht="15" hidden="false" customHeight="false" outlineLevel="0" collapsed="false">
      <c r="A76" s="6" t="s">
        <v>761</v>
      </c>
      <c r="B76" s="6" t="s">
        <v>327</v>
      </c>
      <c r="C76" s="12" t="str">
        <f aca="false">IFERROR(INDEX(Colaboradores!$E:$E,MATCH(B76,Colaboradores!$A:$A,0)),"")</f>
        <v>YOANDERSON COSTA DOS SANTOS</v>
      </c>
      <c r="D76" s="6" t="s">
        <v>498</v>
      </c>
      <c r="E76" s="12" t="str">
        <f aca="false">IFERROR(INDEX(Doc_Catalogo!$B:$B,MATCH(D76,Doc_Catalogo!$A:$A,0)),"")</f>
        <v>CNH</v>
      </c>
      <c r="F76" s="6"/>
      <c r="G76" s="17" t="n">
        <v>48046</v>
      </c>
      <c r="H76" s="12" t="str">
        <f aca="true">IF(G76="","N/A",IF(G76&lt;TODAY(),"VENCIDO",IF(G76&lt;=TODAY()+30,"VENCENDO","VALIDO")))</f>
        <v>VALIDO</v>
      </c>
      <c r="I76" s="6"/>
      <c r="J76" s="6"/>
    </row>
    <row r="77" customFormat="false" ht="15" hidden="false" customHeight="false" outlineLevel="0" collapsed="false">
      <c r="A77" s="6" t="s">
        <v>762</v>
      </c>
      <c r="B77" s="6" t="s">
        <v>327</v>
      </c>
      <c r="C77" s="12" t="str">
        <f aca="false">IFERROR(INDEX(Colaboradores!$E:$E,MATCH(B77,Colaboradores!$A:$A,0)),"")</f>
        <v>YOANDERSON COSTA DOS SANTOS</v>
      </c>
      <c r="D77" s="6" t="s">
        <v>501</v>
      </c>
      <c r="E77" s="12" t="str">
        <f aca="false">IFERROR(INDEX(Doc_Catalogo!$B:$B,MATCH(D77,Doc_Catalogo!$A:$A,0)),"")</f>
        <v>ASO</v>
      </c>
      <c r="F77" s="6"/>
      <c r="G77" s="17" t="n">
        <v>46511</v>
      </c>
      <c r="H77" s="12" t="str">
        <f aca="true">IF(G77="","N/A",IF(G77&lt;TODAY(),"VENCIDO",IF(G77&lt;=TODAY()+30,"VENCENDO","VALIDO")))</f>
        <v>VALIDO</v>
      </c>
      <c r="I77" s="6"/>
      <c r="J77" s="6"/>
    </row>
    <row r="78" customFormat="false" ht="15" hidden="false" customHeight="false" outlineLevel="0" collapsed="false">
      <c r="A78" s="6" t="s">
        <v>763</v>
      </c>
      <c r="B78" s="6" t="s">
        <v>327</v>
      </c>
      <c r="C78" s="12" t="str">
        <f aca="false">IFERROR(INDEX(Colaboradores!$E:$E,MATCH(B78,Colaboradores!$A:$A,0)),"")</f>
        <v>YOANDERSON COSTA DOS SANTOS</v>
      </c>
      <c r="D78" s="6" t="s">
        <v>519</v>
      </c>
      <c r="E78" s="12" t="str">
        <f aca="false">IFERROR(INDEX(Doc_Catalogo!$B:$B,MATCH(D78,Doc_Catalogo!$A:$A,0)),"")</f>
        <v>Certificado da NR06 — Colaborador</v>
      </c>
      <c r="F78" s="6"/>
      <c r="G78" s="17" t="n">
        <v>46565</v>
      </c>
      <c r="H78" s="12" t="str">
        <f aca="true">IF(G78="","N/A",IF(G78&lt;TODAY(),"VENCIDO",IF(G78&lt;=TODAY()+30,"VENCENDO","VALIDO")))</f>
        <v>VALIDO</v>
      </c>
      <c r="I78" s="6"/>
      <c r="J78" s="6"/>
    </row>
    <row r="79" customFormat="false" ht="15" hidden="false" customHeight="false" outlineLevel="0" collapsed="false">
      <c r="A79" s="6" t="s">
        <v>764</v>
      </c>
      <c r="B79" s="6" t="s">
        <v>327</v>
      </c>
      <c r="C79" s="12" t="str">
        <f aca="false">IFERROR(INDEX(Colaboradores!$E:$E,MATCH(B79,Colaboradores!$A:$A,0)),"")</f>
        <v>YOANDERSON COSTA DOS SANTOS</v>
      </c>
      <c r="D79" s="6" t="s">
        <v>524</v>
      </c>
      <c r="E79" s="12" t="str">
        <f aca="false">IFERROR(INDEX(Doc_Catalogo!$B:$B,MATCH(D79,Doc_Catalogo!$A:$A,0)),"")</f>
        <v>Certificado da NR10 — Colaborador</v>
      </c>
      <c r="F79" s="6"/>
      <c r="G79" s="17" t="n">
        <v>46180</v>
      </c>
      <c r="H79" s="12" t="str">
        <f aca="true">IF(G79="","N/A",IF(G79&lt;TODAY(),"VENCIDO",IF(G79&lt;=TODAY()+30,"VENCENDO","VALIDO")))</f>
        <v>VENCIDO</v>
      </c>
      <c r="I79" s="6"/>
      <c r="J79" s="6"/>
    </row>
    <row r="80" customFormat="false" ht="15" hidden="false" customHeight="false" outlineLevel="0" collapsed="false">
      <c r="A80" s="6" t="s">
        <v>765</v>
      </c>
      <c r="B80" s="6" t="s">
        <v>327</v>
      </c>
      <c r="C80" s="12" t="str">
        <f aca="false">IFERROR(INDEX(Colaboradores!$E:$E,MATCH(B80,Colaboradores!$A:$A,0)),"")</f>
        <v>YOANDERSON COSTA DOS SANTOS</v>
      </c>
      <c r="D80" s="6" t="s">
        <v>537</v>
      </c>
      <c r="E80" s="12" t="str">
        <f aca="false">IFERROR(INDEX(Doc_Catalogo!$B:$B,MATCH(D80,Doc_Catalogo!$A:$A,0)),"")</f>
        <v>Certificado da NR12 — Colaborador</v>
      </c>
      <c r="F80" s="6"/>
      <c r="G80" s="17" t="n">
        <v>46197</v>
      </c>
      <c r="H80" s="12" t="str">
        <f aca="true">IF(G80="","N/A",IF(G80&lt;TODAY(),"VENCIDO",IF(G80&lt;=TODAY()+30,"VENCENDO","VALIDO")))</f>
        <v>VENCIDO</v>
      </c>
      <c r="I80" s="6"/>
      <c r="J80" s="6"/>
    </row>
    <row r="81" customFormat="false" ht="15" hidden="false" customHeight="false" outlineLevel="0" collapsed="false">
      <c r="A81" s="6" t="s">
        <v>766</v>
      </c>
      <c r="B81" s="6" t="s">
        <v>327</v>
      </c>
      <c r="C81" s="12" t="str">
        <f aca="false">IFERROR(INDEX(Colaboradores!$E:$E,MATCH(B81,Colaboradores!$A:$A,0)),"")</f>
        <v>YOANDERSON COSTA DOS SANTOS</v>
      </c>
      <c r="D81" s="6" t="s">
        <v>549</v>
      </c>
      <c r="E81" s="12" t="str">
        <f aca="false">IFERROR(INDEX(Doc_Catalogo!$B:$B,MATCH(D81,Doc_Catalogo!$A:$A,0)),"")</f>
        <v>Certificado da NR18 — Colaborador</v>
      </c>
      <c r="F81" s="6"/>
      <c r="G81" s="17" t="n">
        <v>46558</v>
      </c>
      <c r="H81" s="12" t="str">
        <f aca="true">IF(G81="","N/A",IF(G81&lt;TODAY(),"VENCIDO",IF(G81&lt;=TODAY()+30,"VENCENDO","VALIDO")))</f>
        <v>VALIDO</v>
      </c>
      <c r="I81" s="6"/>
      <c r="J81" s="6"/>
    </row>
    <row r="82" customFormat="false" ht="15" hidden="false" customHeight="false" outlineLevel="0" collapsed="false">
      <c r="A82" s="6" t="s">
        <v>767</v>
      </c>
      <c r="B82" s="6" t="s">
        <v>327</v>
      </c>
      <c r="C82" s="12" t="str">
        <f aca="false">IFERROR(INDEX(Colaboradores!$E:$E,MATCH(B82,Colaboradores!$A:$A,0)),"")</f>
        <v>YOANDERSON COSTA DOS SANTOS</v>
      </c>
      <c r="D82" s="6" t="s">
        <v>553</v>
      </c>
      <c r="E82" s="12" t="str">
        <f aca="false">IFERROR(INDEX(Doc_Catalogo!$B:$B,MATCH(D82,Doc_Catalogo!$A:$A,0)),"")</f>
        <v>Certificado da NR33 — Colaborador</v>
      </c>
      <c r="F82" s="6"/>
      <c r="G82" s="17" t="n">
        <v>45825</v>
      </c>
      <c r="H82" s="12" t="str">
        <f aca="true">IF(G82="","N/A",IF(G82&lt;TODAY(),"VENCIDO",IF(G82&lt;=TODAY()+30,"VENCENDO","VALIDO")))</f>
        <v>VENCIDO</v>
      </c>
      <c r="I82" s="6"/>
      <c r="J82" s="6"/>
    </row>
    <row r="83" customFormat="false" ht="15" hidden="false" customHeight="false" outlineLevel="0" collapsed="false">
      <c r="A83" s="6" t="s">
        <v>768</v>
      </c>
      <c r="B83" s="6" t="s">
        <v>327</v>
      </c>
      <c r="C83" s="12" t="str">
        <f aca="false">IFERROR(INDEX(Colaboradores!$E:$E,MATCH(B83,Colaboradores!$A:$A,0)),"")</f>
        <v>YOANDERSON COSTA DOS SANTOS</v>
      </c>
      <c r="D83" s="6" t="s">
        <v>565</v>
      </c>
      <c r="E83" s="12" t="str">
        <f aca="false">IFERROR(INDEX(Doc_Catalogo!$B:$B,MATCH(D83,Doc_Catalogo!$A:$A,0)),"")</f>
        <v>Certificado da NR35 — Colaborador</v>
      </c>
      <c r="F83" s="6"/>
      <c r="G83" s="17" t="n">
        <v>46184</v>
      </c>
      <c r="H83" s="12" t="str">
        <f aca="true">IF(G83="","N/A",IF(G83&lt;TODAY(),"VENCIDO",IF(G83&lt;=TODAY()+30,"VENCENDO","VALIDO")))</f>
        <v>VENCIDO</v>
      </c>
      <c r="I83" s="6"/>
      <c r="J83" s="6"/>
    </row>
    <row r="84" customFormat="false" ht="15" hidden="false" customHeight="false" outlineLevel="0" collapsed="false">
      <c r="A84" s="7" t="s">
        <v>769</v>
      </c>
      <c r="B84" s="7" t="s">
        <v>327</v>
      </c>
      <c r="C84" s="16" t="str">
        <f aca="false">IFERROR(INDEX(Colaboradores!$E:$E,MATCH(B84,Colaboradores!$A:$A,0)),"")</f>
        <v>YOANDERSON COSTA DOS SANTOS</v>
      </c>
      <c r="D84" s="7" t="s">
        <v>574</v>
      </c>
      <c r="E84" s="16" t="str">
        <f aca="false">IFERROR(INDEX(Doc_Catalogo!$B:$B,MATCH(D84,Doc_Catalogo!$A:$A,0)),"")</f>
        <v>E-social</v>
      </c>
      <c r="F84" s="7"/>
      <c r="G84" s="13"/>
      <c r="H84" s="16" t="str">
        <f aca="true">IF(G84="","N/A",IF(G84&lt;TODAY(),"VENCIDO",IF(G84&lt;=TODAY()+30,"VENCENDO","VALIDO")))</f>
        <v>N/A</v>
      </c>
      <c r="I84" s="7"/>
      <c r="J84" s="7" t="s">
        <v>686</v>
      </c>
    </row>
    <row r="85" customFormat="false" ht="15" hidden="false" customHeight="false" outlineLevel="0" collapsed="false">
      <c r="A85" s="7" t="s">
        <v>770</v>
      </c>
      <c r="B85" s="7" t="s">
        <v>327</v>
      </c>
      <c r="C85" s="16" t="str">
        <f aca="false">IFERROR(INDEX(Colaboradores!$E:$E,MATCH(B85,Colaboradores!$A:$A,0)),"")</f>
        <v>YOANDERSON COSTA DOS SANTOS</v>
      </c>
      <c r="D85" s="7" t="s">
        <v>579</v>
      </c>
      <c r="E85" s="16" t="str">
        <f aca="false">IFERROR(INDEX(Doc_Catalogo!$B:$B,MATCH(D85,Doc_Catalogo!$A:$A,0)),"")</f>
        <v>Contrato Experiencia</v>
      </c>
      <c r="F85" s="7"/>
      <c r="G85" s="13"/>
      <c r="H85" s="16" t="str">
        <f aca="true">IF(G85="","N/A",IF(G85&lt;TODAY(),"VENCIDO",IF(G85&lt;=TODAY()+30,"VENCENDO","VALIDO")))</f>
        <v>N/A</v>
      </c>
      <c r="I85" s="7"/>
      <c r="J85" s="7" t="s">
        <v>686</v>
      </c>
    </row>
    <row r="86" customFormat="false" ht="15" hidden="false" customHeight="false" outlineLevel="0" collapsed="false">
      <c r="A86" s="6" t="s">
        <v>771</v>
      </c>
      <c r="B86" s="6" t="s">
        <v>302</v>
      </c>
      <c r="C86" s="12" t="str">
        <f aca="false">IFERROR(INDEX(Colaboradores!$E:$E,MATCH(B86,Colaboradores!$A:$A,0)),"")</f>
        <v>BELION FELIPE FERNANDES CORREIA</v>
      </c>
      <c r="D86" s="6" t="s">
        <v>501</v>
      </c>
      <c r="E86" s="12" t="str">
        <f aca="false">IFERROR(INDEX(Doc_Catalogo!$B:$B,MATCH(D86,Doc_Catalogo!$A:$A,0)),"")</f>
        <v>ASO</v>
      </c>
      <c r="F86" s="6"/>
      <c r="G86" s="17" t="n">
        <v>45910</v>
      </c>
      <c r="H86" s="12" t="str">
        <f aca="true">IF(G86="","N/A",IF(G86&lt;TODAY(),"VENCIDO",IF(G86&lt;=TODAY()+30,"VENCENDO","VALIDO")))</f>
        <v>VENCIDO</v>
      </c>
      <c r="I86" s="6"/>
      <c r="J86" s="6"/>
    </row>
    <row r="87" customFormat="false" ht="15" hidden="false" customHeight="false" outlineLevel="0" collapsed="false">
      <c r="A87" s="7" t="s">
        <v>772</v>
      </c>
      <c r="B87" s="7" t="s">
        <v>302</v>
      </c>
      <c r="C87" s="16" t="str">
        <f aca="false">IFERROR(INDEX(Colaboradores!$E:$E,MATCH(B87,Colaboradores!$A:$A,0)),"")</f>
        <v>BELION FELIPE FERNANDES CORREIA</v>
      </c>
      <c r="D87" s="7" t="s">
        <v>571</v>
      </c>
      <c r="E87" s="16" t="str">
        <f aca="false">IFERROR(INDEX(Doc_Catalogo!$B:$B,MATCH(D87,Doc_Catalogo!$A:$A,0)),"")</f>
        <v>Ficha de Registro</v>
      </c>
      <c r="F87" s="7"/>
      <c r="G87" s="13"/>
      <c r="H87" s="16" t="str">
        <f aca="true">IF(G87="","N/A",IF(G87&lt;TODAY(),"VENCIDO",IF(G87&lt;=TODAY()+30,"VENCENDO","VALIDO")))</f>
        <v>N/A</v>
      </c>
      <c r="I87" s="7"/>
      <c r="J87" s="7" t="s">
        <v>686</v>
      </c>
    </row>
    <row r="88" customFormat="false" ht="15" hidden="false" customHeight="false" outlineLevel="0" collapsed="false">
      <c r="A88" s="7" t="s">
        <v>773</v>
      </c>
      <c r="B88" s="7" t="s">
        <v>302</v>
      </c>
      <c r="C88" s="16" t="str">
        <f aca="false">IFERROR(INDEX(Colaboradores!$E:$E,MATCH(B88,Colaboradores!$A:$A,0)),"")</f>
        <v>BELION FELIPE FERNANDES CORREIA</v>
      </c>
      <c r="D88" s="7" t="s">
        <v>574</v>
      </c>
      <c r="E88" s="16" t="str">
        <f aca="false">IFERROR(INDEX(Doc_Catalogo!$B:$B,MATCH(D88,Doc_Catalogo!$A:$A,0)),"")</f>
        <v>E-social</v>
      </c>
      <c r="F88" s="7"/>
      <c r="G88" s="13"/>
      <c r="H88" s="16" t="str">
        <f aca="true">IF(G88="","N/A",IF(G88&lt;TODAY(),"VENCIDO",IF(G88&lt;=TODAY()+30,"VENCENDO","VALIDO")))</f>
        <v>N/A</v>
      </c>
      <c r="I88" s="7"/>
      <c r="J88" s="7" t="s">
        <v>686</v>
      </c>
    </row>
    <row r="89" customFormat="false" ht="15" hidden="false" customHeight="false" outlineLevel="0" collapsed="false">
      <c r="A89" s="7" t="s">
        <v>774</v>
      </c>
      <c r="B89" s="7" t="s">
        <v>302</v>
      </c>
      <c r="C89" s="16" t="str">
        <f aca="false">IFERROR(INDEX(Colaboradores!$E:$E,MATCH(B89,Colaboradores!$A:$A,0)),"")</f>
        <v>BELION FELIPE FERNANDES CORREIA</v>
      </c>
      <c r="D89" s="7" t="s">
        <v>579</v>
      </c>
      <c r="E89" s="16" t="str">
        <f aca="false">IFERROR(INDEX(Doc_Catalogo!$B:$B,MATCH(D89,Doc_Catalogo!$A:$A,0)),"")</f>
        <v>Contrato Experiencia</v>
      </c>
      <c r="F89" s="7"/>
      <c r="G89" s="13"/>
      <c r="H89" s="16" t="str">
        <f aca="true">IF(G89="","N/A",IF(G89&lt;TODAY(),"VENCIDO",IF(G89&lt;=TODAY()+30,"VENCENDO","VALIDO")))</f>
        <v>N/A</v>
      </c>
      <c r="I89" s="7"/>
      <c r="J89" s="7" t="s">
        <v>686</v>
      </c>
    </row>
    <row r="90" customFormat="false" ht="15" hidden="false" customHeight="false" outlineLevel="0" collapsed="false">
      <c r="A90" s="7" t="s">
        <v>775</v>
      </c>
      <c r="B90" s="7" t="s">
        <v>302</v>
      </c>
      <c r="C90" s="16" t="str">
        <f aca="false">IFERROR(INDEX(Colaboradores!$E:$E,MATCH(B90,Colaboradores!$A:$A,0)),"")</f>
        <v>BELION FELIPE FERNANDES CORREIA</v>
      </c>
      <c r="D90" s="7" t="s">
        <v>586</v>
      </c>
      <c r="E90" s="16" t="str">
        <f aca="false">IFERROR(INDEX(Doc_Catalogo!$B:$B,MATCH(D90,Doc_Catalogo!$A:$A,0)),"")</f>
        <v>Ordem de Servico</v>
      </c>
      <c r="F90" s="7"/>
      <c r="G90" s="13"/>
      <c r="H90" s="16" t="str">
        <f aca="true">IF(G90="","N/A",IF(G90&lt;TODAY(),"VENCIDO",IF(G90&lt;=TODAY()+30,"VENCENDO","VALIDO")))</f>
        <v>N/A</v>
      </c>
      <c r="I90" s="7"/>
      <c r="J90" s="7" t="s">
        <v>686</v>
      </c>
    </row>
    <row r="91" customFormat="false" ht="15" hidden="false" customHeight="false" outlineLevel="0" collapsed="false">
      <c r="A91" s="7" t="s">
        <v>776</v>
      </c>
      <c r="B91" s="7" t="s">
        <v>302</v>
      </c>
      <c r="C91" s="16" t="str">
        <f aca="false">IFERROR(INDEX(Colaboradores!$E:$E,MATCH(B91,Colaboradores!$A:$A,0)),"")</f>
        <v>BELION FELIPE FERNANDES CORREIA</v>
      </c>
      <c r="D91" s="7" t="s">
        <v>588</v>
      </c>
      <c r="E91" s="16" t="str">
        <f aca="false">IFERROR(INDEX(Doc_Catalogo!$B:$B,MATCH(D91,Doc_Catalogo!$A:$A,0)),"")</f>
        <v>Ficha de EPI Atualizada</v>
      </c>
      <c r="F91" s="7"/>
      <c r="G91" s="13"/>
      <c r="H91" s="16" t="str">
        <f aca="true">IF(G91="","N/A",IF(G91&lt;TODAY(),"VENCIDO",IF(G91&lt;=TODAY()+30,"VENCENDO","VALIDO")))</f>
        <v>N/A</v>
      </c>
      <c r="I91" s="7"/>
      <c r="J91" s="7" t="s">
        <v>686</v>
      </c>
    </row>
    <row r="92" customFormat="false" ht="15" hidden="false" customHeight="false" outlineLevel="0" collapsed="false">
      <c r="A92" s="6" t="s">
        <v>777</v>
      </c>
      <c r="B92" s="6" t="s">
        <v>324</v>
      </c>
      <c r="C92" s="12" t="str">
        <f aca="false">IFERROR(INDEX(Colaboradores!$E:$E,MATCH(B92,Colaboradores!$A:$A,0)),"")</f>
        <v>PAULO CESAR ALVES DA SILVA</v>
      </c>
      <c r="D92" s="6" t="s">
        <v>491</v>
      </c>
      <c r="E92" s="12" t="str">
        <f aca="false">IFERROR(INDEX(Doc_Catalogo!$B:$B,MATCH(D92,Doc_Catalogo!$A:$A,0)),"")</f>
        <v>RG</v>
      </c>
      <c r="F92" s="6"/>
      <c r="G92" s="17" t="n">
        <v>48539</v>
      </c>
      <c r="H92" s="12" t="str">
        <f aca="true">IF(G92="","N/A",IF(G92&lt;TODAY(),"VENCIDO",IF(G92&lt;=TODAY()+30,"VENCENDO","VALIDO")))</f>
        <v>VALIDO</v>
      </c>
      <c r="I92" s="6"/>
      <c r="J92" s="6"/>
    </row>
    <row r="93" customFormat="false" ht="15" hidden="false" customHeight="false" outlineLevel="0" collapsed="false">
      <c r="A93" s="6" t="s">
        <v>778</v>
      </c>
      <c r="B93" s="6" t="s">
        <v>324</v>
      </c>
      <c r="C93" s="12" t="str">
        <f aca="false">IFERROR(INDEX(Colaboradores!$E:$E,MATCH(B93,Colaboradores!$A:$A,0)),"")</f>
        <v>PAULO CESAR ALVES DA SILVA</v>
      </c>
      <c r="D93" s="6" t="s">
        <v>501</v>
      </c>
      <c r="E93" s="12" t="str">
        <f aca="false">IFERROR(INDEX(Doc_Catalogo!$B:$B,MATCH(D93,Doc_Catalogo!$A:$A,0)),"")</f>
        <v>ASO</v>
      </c>
      <c r="F93" s="6"/>
      <c r="G93" s="17" t="n">
        <v>46231</v>
      </c>
      <c r="H93" s="12" t="str">
        <f aca="true">IF(G93="","N/A",IF(G93&lt;TODAY(),"VENCIDO",IF(G93&lt;=TODAY()+30,"VENCENDO","VALIDO")))</f>
        <v>VENCIDO</v>
      </c>
      <c r="I93" s="6"/>
      <c r="J93" s="6"/>
    </row>
    <row r="94" customFormat="false" ht="15" hidden="false" customHeight="false" outlineLevel="0" collapsed="false">
      <c r="A94" s="6" t="s">
        <v>779</v>
      </c>
      <c r="B94" s="6" t="s">
        <v>324</v>
      </c>
      <c r="C94" s="12" t="str">
        <f aca="false">IFERROR(INDEX(Colaboradores!$E:$E,MATCH(B94,Colaboradores!$A:$A,0)),"")</f>
        <v>PAULO CESAR ALVES DA SILVA</v>
      </c>
      <c r="D94" s="6" t="s">
        <v>519</v>
      </c>
      <c r="E94" s="12" t="str">
        <f aca="false">IFERROR(INDEX(Doc_Catalogo!$B:$B,MATCH(D94,Doc_Catalogo!$A:$A,0)),"")</f>
        <v>Certificado da NR06 — Colaborador</v>
      </c>
      <c r="F94" s="6"/>
      <c r="G94" s="17" t="n">
        <v>46183</v>
      </c>
      <c r="H94" s="12" t="str">
        <f aca="true">IF(G94="","N/A",IF(G94&lt;TODAY(),"VENCIDO",IF(G94&lt;=TODAY()+30,"VENCENDO","VALIDO")))</f>
        <v>VENCIDO</v>
      </c>
      <c r="I94" s="6"/>
      <c r="J94" s="6"/>
    </row>
    <row r="95" customFormat="false" ht="15" hidden="false" customHeight="false" outlineLevel="0" collapsed="false">
      <c r="A95" s="6" t="s">
        <v>780</v>
      </c>
      <c r="B95" s="6" t="s">
        <v>324</v>
      </c>
      <c r="C95" s="12" t="str">
        <f aca="false">IFERROR(INDEX(Colaboradores!$E:$E,MATCH(B95,Colaboradores!$A:$A,0)),"")</f>
        <v>PAULO CESAR ALVES DA SILVA</v>
      </c>
      <c r="D95" s="6" t="s">
        <v>524</v>
      </c>
      <c r="E95" s="12" t="str">
        <f aca="false">IFERROR(INDEX(Doc_Catalogo!$B:$B,MATCH(D95,Doc_Catalogo!$A:$A,0)),"")</f>
        <v>Certificado da NR10 — Colaborador</v>
      </c>
      <c r="F95" s="6"/>
      <c r="G95" s="17" t="n">
        <v>46544</v>
      </c>
      <c r="H95" s="12" t="str">
        <f aca="true">IF(G95="","N/A",IF(G95&lt;TODAY(),"VENCIDO",IF(G95&lt;=TODAY()+30,"VENCENDO","VALIDO")))</f>
        <v>VALIDO</v>
      </c>
      <c r="I95" s="6"/>
      <c r="J95" s="6"/>
    </row>
    <row r="96" customFormat="false" ht="15" hidden="false" customHeight="false" outlineLevel="0" collapsed="false">
      <c r="A96" s="6" t="s">
        <v>781</v>
      </c>
      <c r="B96" s="6" t="s">
        <v>324</v>
      </c>
      <c r="C96" s="12" t="str">
        <f aca="false">IFERROR(INDEX(Colaboradores!$E:$E,MATCH(B96,Colaboradores!$A:$A,0)),"")</f>
        <v>PAULO CESAR ALVES DA SILVA</v>
      </c>
      <c r="D96" s="6" t="s">
        <v>537</v>
      </c>
      <c r="E96" s="12" t="str">
        <f aca="false">IFERROR(INDEX(Doc_Catalogo!$B:$B,MATCH(D96,Doc_Catalogo!$A:$A,0)),"")</f>
        <v>Certificado da NR12 — Colaborador</v>
      </c>
      <c r="F96" s="6"/>
      <c r="G96" s="17" t="n">
        <v>46550</v>
      </c>
      <c r="H96" s="12" t="str">
        <f aca="true">IF(G96="","N/A",IF(G96&lt;TODAY(),"VENCIDO",IF(G96&lt;=TODAY()+30,"VENCENDO","VALIDO")))</f>
        <v>VALIDO</v>
      </c>
      <c r="I96" s="6"/>
      <c r="J96" s="6"/>
    </row>
    <row r="97" customFormat="false" ht="15" hidden="false" customHeight="false" outlineLevel="0" collapsed="false">
      <c r="A97" s="6" t="s">
        <v>782</v>
      </c>
      <c r="B97" s="6" t="s">
        <v>324</v>
      </c>
      <c r="C97" s="12" t="str">
        <f aca="false">IFERROR(INDEX(Colaboradores!$E:$E,MATCH(B97,Colaboradores!$A:$A,0)),"")</f>
        <v>PAULO CESAR ALVES DA SILVA</v>
      </c>
      <c r="D97" s="6" t="s">
        <v>545</v>
      </c>
      <c r="E97" s="12" t="str">
        <f aca="false">IFERROR(INDEX(Doc_Catalogo!$B:$B,MATCH(D97,Doc_Catalogo!$A:$A,0)),"")</f>
        <v>Certificado da NR17 — Colaborador</v>
      </c>
      <c r="F97" s="6"/>
      <c r="G97" s="17" t="n">
        <v>46487</v>
      </c>
      <c r="H97" s="12" t="str">
        <f aca="true">IF(G97="","N/A",IF(G97&lt;TODAY(),"VENCIDO",IF(G97&lt;=TODAY()+30,"VENCENDO","VALIDO")))</f>
        <v>VALIDO</v>
      </c>
      <c r="I97" s="6"/>
      <c r="J97" s="6"/>
    </row>
    <row r="98" customFormat="false" ht="15" hidden="false" customHeight="false" outlineLevel="0" collapsed="false">
      <c r="A98" s="6" t="s">
        <v>783</v>
      </c>
      <c r="B98" s="6" t="s">
        <v>324</v>
      </c>
      <c r="C98" s="12" t="str">
        <f aca="false">IFERROR(INDEX(Colaboradores!$E:$E,MATCH(B98,Colaboradores!$A:$A,0)),"")</f>
        <v>PAULO CESAR ALVES DA SILVA</v>
      </c>
      <c r="D98" s="6" t="s">
        <v>549</v>
      </c>
      <c r="E98" s="12" t="str">
        <f aca="false">IFERROR(INDEX(Doc_Catalogo!$B:$B,MATCH(D98,Doc_Catalogo!$A:$A,0)),"")</f>
        <v>Certificado da NR18 — Colaborador</v>
      </c>
      <c r="F98" s="6"/>
      <c r="G98" s="17" t="n">
        <v>46558</v>
      </c>
      <c r="H98" s="12" t="str">
        <f aca="true">IF(G98="","N/A",IF(G98&lt;TODAY(),"VENCIDO",IF(G98&lt;=TODAY()+30,"VENCENDO","VALIDO")))</f>
        <v>VALIDO</v>
      </c>
      <c r="I98" s="6"/>
      <c r="J98" s="6"/>
    </row>
    <row r="99" customFormat="false" ht="15" hidden="false" customHeight="false" outlineLevel="0" collapsed="false">
      <c r="A99" s="6" t="s">
        <v>784</v>
      </c>
      <c r="B99" s="6" t="s">
        <v>324</v>
      </c>
      <c r="C99" s="12" t="str">
        <f aca="false">IFERROR(INDEX(Colaboradores!$E:$E,MATCH(B99,Colaboradores!$A:$A,0)),"")</f>
        <v>PAULO CESAR ALVES DA SILVA</v>
      </c>
      <c r="D99" s="6" t="s">
        <v>553</v>
      </c>
      <c r="E99" s="12" t="str">
        <f aca="false">IFERROR(INDEX(Doc_Catalogo!$B:$B,MATCH(D99,Doc_Catalogo!$A:$A,0)),"")</f>
        <v>Certificado da NR33 — Colaborador</v>
      </c>
      <c r="F99" s="6"/>
      <c r="G99" s="17" t="n">
        <v>46191</v>
      </c>
      <c r="H99" s="12" t="str">
        <f aca="true">IF(G99="","N/A",IF(G99&lt;TODAY(),"VENCIDO",IF(G99&lt;=TODAY()+30,"VENCENDO","VALIDO")))</f>
        <v>VENCIDO</v>
      </c>
      <c r="I99" s="6"/>
      <c r="J99" s="6"/>
    </row>
    <row r="100" customFormat="false" ht="15" hidden="false" customHeight="false" outlineLevel="0" collapsed="false">
      <c r="A100" s="6" t="s">
        <v>785</v>
      </c>
      <c r="B100" s="6" t="s">
        <v>324</v>
      </c>
      <c r="C100" s="12" t="str">
        <f aca="false">IFERROR(INDEX(Colaboradores!$E:$E,MATCH(B100,Colaboradores!$A:$A,0)),"")</f>
        <v>PAULO CESAR ALVES DA SILVA</v>
      </c>
      <c r="D100" s="6" t="s">
        <v>565</v>
      </c>
      <c r="E100" s="12" t="str">
        <f aca="false">IFERROR(INDEX(Doc_Catalogo!$B:$B,MATCH(D100,Doc_Catalogo!$A:$A,0)),"")</f>
        <v>Certificado da NR35 — Colaborador</v>
      </c>
      <c r="F100" s="6"/>
      <c r="G100" s="17" t="n">
        <v>46554</v>
      </c>
      <c r="H100" s="12" t="str">
        <f aca="true">IF(G100="","N/A",IF(G100&lt;TODAY(),"VENCIDO",IF(G100&lt;=TODAY()+30,"VENCENDO","VALIDO")))</f>
        <v>VALIDO</v>
      </c>
      <c r="I100" s="6"/>
      <c r="J100" s="6"/>
    </row>
    <row r="101" customFormat="false" ht="15" hidden="false" customHeight="false" outlineLevel="0" collapsed="false">
      <c r="A101" s="7" t="s">
        <v>786</v>
      </c>
      <c r="B101" s="7" t="s">
        <v>324</v>
      </c>
      <c r="C101" s="16" t="str">
        <f aca="false">IFERROR(INDEX(Colaboradores!$E:$E,MATCH(B101,Colaboradores!$A:$A,0)),"")</f>
        <v>PAULO CESAR ALVES DA SILVA</v>
      </c>
      <c r="D101" s="7" t="s">
        <v>586</v>
      </c>
      <c r="E101" s="16" t="str">
        <f aca="false">IFERROR(INDEX(Doc_Catalogo!$B:$B,MATCH(D101,Doc_Catalogo!$A:$A,0)),"")</f>
        <v>Ordem de Servico</v>
      </c>
      <c r="F101" s="7"/>
      <c r="G101" s="13"/>
      <c r="H101" s="16" t="str">
        <f aca="true">IF(G101="","N/A",IF(G101&lt;TODAY(),"VENCIDO",IF(G101&lt;=TODAY()+30,"VENCENDO","VALIDO")))</f>
        <v>N/A</v>
      </c>
      <c r="I101" s="7"/>
      <c r="J101" s="7" t="s">
        <v>686</v>
      </c>
    </row>
    <row r="102" customFormat="false" ht="15" hidden="false" customHeight="false" outlineLevel="0" collapsed="false">
      <c r="A102" s="6" t="s">
        <v>787</v>
      </c>
      <c r="B102" s="6" t="s">
        <v>299</v>
      </c>
      <c r="C102" s="12" t="str">
        <f aca="false">IFERROR(INDEX(Colaboradores!$E:$E,MATCH(B102,Colaboradores!$A:$A,0)),"")</f>
        <v>AVANY MAIA DOS REIS</v>
      </c>
      <c r="D102" s="6" t="s">
        <v>498</v>
      </c>
      <c r="E102" s="12" t="str">
        <f aca="false">IFERROR(INDEX(Doc_Catalogo!$B:$B,MATCH(D102,Doc_Catalogo!$A:$A,0)),"")</f>
        <v>CNH</v>
      </c>
      <c r="F102" s="6"/>
      <c r="G102" s="17" t="n">
        <v>48142</v>
      </c>
      <c r="H102" s="12" t="str">
        <f aca="true">IF(G102="","N/A",IF(G102&lt;TODAY(),"VENCIDO",IF(G102&lt;=TODAY()+30,"VENCENDO","VALIDO")))</f>
        <v>VALIDO</v>
      </c>
      <c r="I102" s="6"/>
      <c r="J102" s="6"/>
    </row>
    <row r="103" customFormat="false" ht="15" hidden="false" customHeight="false" outlineLevel="0" collapsed="false">
      <c r="A103" s="6" t="s">
        <v>788</v>
      </c>
      <c r="B103" s="6" t="s">
        <v>299</v>
      </c>
      <c r="C103" s="12" t="str">
        <f aca="false">IFERROR(INDEX(Colaboradores!$E:$E,MATCH(B103,Colaboradores!$A:$A,0)),"")</f>
        <v>AVANY MAIA DOS REIS</v>
      </c>
      <c r="D103" s="6" t="s">
        <v>501</v>
      </c>
      <c r="E103" s="12" t="str">
        <f aca="false">IFERROR(INDEX(Doc_Catalogo!$B:$B,MATCH(D103,Doc_Catalogo!$A:$A,0)),"")</f>
        <v>ASO</v>
      </c>
      <c r="F103" s="6"/>
      <c r="G103" s="17" t="n">
        <v>45993</v>
      </c>
      <c r="H103" s="12" t="str">
        <f aca="true">IF(G103="","N/A",IF(G103&lt;TODAY(),"VENCIDO",IF(G103&lt;=TODAY()+30,"VENCENDO","VALIDO")))</f>
        <v>VENCIDO</v>
      </c>
      <c r="I103" s="6"/>
      <c r="J103" s="6"/>
    </row>
    <row r="104" customFormat="false" ht="15" hidden="false" customHeight="false" outlineLevel="0" collapsed="false">
      <c r="A104" s="6" t="s">
        <v>789</v>
      </c>
      <c r="B104" s="6" t="s">
        <v>299</v>
      </c>
      <c r="C104" s="12" t="str">
        <f aca="false">IFERROR(INDEX(Colaboradores!$E:$E,MATCH(B104,Colaboradores!$A:$A,0)),"")</f>
        <v>AVANY MAIA DOS REIS</v>
      </c>
      <c r="D104" s="6" t="s">
        <v>519</v>
      </c>
      <c r="E104" s="12" t="str">
        <f aca="false">IFERROR(INDEX(Doc_Catalogo!$B:$B,MATCH(D104,Doc_Catalogo!$A:$A,0)),"")</f>
        <v>Certificado da NR06 — Colaborador</v>
      </c>
      <c r="F104" s="6"/>
      <c r="G104" s="17" t="n">
        <v>46449</v>
      </c>
      <c r="H104" s="12" t="str">
        <f aca="true">IF(G104="","N/A",IF(G104&lt;TODAY(),"VENCIDO",IF(G104&lt;=TODAY()+30,"VENCENDO","VALIDO")))</f>
        <v>VALIDO</v>
      </c>
      <c r="I104" s="6"/>
      <c r="J104" s="6"/>
    </row>
    <row r="105" customFormat="false" ht="15" hidden="false" customHeight="false" outlineLevel="0" collapsed="false">
      <c r="A105" s="6" t="s">
        <v>790</v>
      </c>
      <c r="B105" s="6" t="s">
        <v>299</v>
      </c>
      <c r="C105" s="12" t="str">
        <f aca="false">IFERROR(INDEX(Colaboradores!$E:$E,MATCH(B105,Colaboradores!$A:$A,0)),"")</f>
        <v>AVANY MAIA DOS REIS</v>
      </c>
      <c r="D105" s="6" t="s">
        <v>524</v>
      </c>
      <c r="E105" s="12" t="str">
        <f aca="false">IFERROR(INDEX(Doc_Catalogo!$B:$B,MATCH(D105,Doc_Catalogo!$A:$A,0)),"")</f>
        <v>Certificado da NR10 — Colaborador</v>
      </c>
      <c r="F105" s="6"/>
      <c r="G105" s="17" t="n">
        <v>46818</v>
      </c>
      <c r="H105" s="12" t="str">
        <f aca="true">IF(G105="","N/A",IF(G105&lt;TODAY(),"VENCIDO",IF(G105&lt;=TODAY()+30,"VENCENDO","VALIDO")))</f>
        <v>VALIDO</v>
      </c>
      <c r="I105" s="6"/>
      <c r="J105" s="6"/>
    </row>
    <row r="106" customFormat="false" ht="15" hidden="false" customHeight="false" outlineLevel="0" collapsed="false">
      <c r="A106" s="6" t="s">
        <v>791</v>
      </c>
      <c r="B106" s="6" t="s">
        <v>299</v>
      </c>
      <c r="C106" s="12" t="str">
        <f aca="false">IFERROR(INDEX(Colaboradores!$E:$E,MATCH(B106,Colaboradores!$A:$A,0)),"")</f>
        <v>AVANY MAIA DOS REIS</v>
      </c>
      <c r="D106" s="6" t="s">
        <v>537</v>
      </c>
      <c r="E106" s="12" t="str">
        <f aca="false">IFERROR(INDEX(Doc_Catalogo!$B:$B,MATCH(D106,Doc_Catalogo!$A:$A,0)),"")</f>
        <v>Certificado da NR12 — Colaborador</v>
      </c>
      <c r="F106" s="6"/>
      <c r="G106" s="17" t="n">
        <v>46822</v>
      </c>
      <c r="H106" s="12" t="str">
        <f aca="true">IF(G106="","N/A",IF(G106&lt;TODAY(),"VENCIDO",IF(G106&lt;=TODAY()+30,"VENCENDO","VALIDO")))</f>
        <v>VALIDO</v>
      </c>
      <c r="I106" s="6"/>
      <c r="J106" s="6"/>
    </row>
    <row r="107" customFormat="false" ht="15" hidden="false" customHeight="false" outlineLevel="0" collapsed="false">
      <c r="A107" s="6" t="s">
        <v>792</v>
      </c>
      <c r="B107" s="6" t="s">
        <v>299</v>
      </c>
      <c r="C107" s="12" t="str">
        <f aca="false">IFERROR(INDEX(Colaboradores!$E:$E,MATCH(B107,Colaboradores!$A:$A,0)),"")</f>
        <v>AVANY MAIA DOS REIS</v>
      </c>
      <c r="D107" s="6" t="s">
        <v>545</v>
      </c>
      <c r="E107" s="12" t="str">
        <f aca="false">IFERROR(INDEX(Doc_Catalogo!$B:$B,MATCH(D107,Doc_Catalogo!$A:$A,0)),"")</f>
        <v>Certificado da NR17 — Colaborador</v>
      </c>
      <c r="F107" s="6"/>
      <c r="G107" s="17" t="n">
        <v>46487</v>
      </c>
      <c r="H107" s="12" t="str">
        <f aca="true">IF(G107="","N/A",IF(G107&lt;TODAY(),"VENCIDO",IF(G107&lt;=TODAY()+30,"VENCENDO","VALIDO")))</f>
        <v>VALIDO</v>
      </c>
      <c r="I107" s="6"/>
      <c r="J107" s="6"/>
    </row>
    <row r="108" customFormat="false" ht="15" hidden="false" customHeight="false" outlineLevel="0" collapsed="false">
      <c r="A108" s="6" t="s">
        <v>793</v>
      </c>
      <c r="B108" s="6" t="s">
        <v>299</v>
      </c>
      <c r="C108" s="12" t="str">
        <f aca="false">IFERROR(INDEX(Colaboradores!$E:$E,MATCH(B108,Colaboradores!$A:$A,0)),"")</f>
        <v>AVANY MAIA DOS REIS</v>
      </c>
      <c r="D108" s="6" t="s">
        <v>549</v>
      </c>
      <c r="E108" s="12" t="str">
        <f aca="false">IFERROR(INDEX(Doc_Catalogo!$B:$B,MATCH(D108,Doc_Catalogo!$A:$A,0)),"")</f>
        <v>Certificado da NR18 — Colaborador</v>
      </c>
      <c r="F108" s="6"/>
      <c r="G108" s="17" t="n">
        <v>46824</v>
      </c>
      <c r="H108" s="12" t="str">
        <f aca="true">IF(G108="","N/A",IF(G108&lt;TODAY(),"VENCIDO",IF(G108&lt;=TODAY()+30,"VENCENDO","VALIDO")))</f>
        <v>VALIDO</v>
      </c>
      <c r="I108" s="6"/>
      <c r="J108" s="6"/>
    </row>
    <row r="109" customFormat="false" ht="15" hidden="false" customHeight="false" outlineLevel="0" collapsed="false">
      <c r="A109" s="6" t="s">
        <v>794</v>
      </c>
      <c r="B109" s="6" t="s">
        <v>299</v>
      </c>
      <c r="C109" s="12" t="str">
        <f aca="false">IFERROR(INDEX(Colaboradores!$E:$E,MATCH(B109,Colaboradores!$A:$A,0)),"")</f>
        <v>AVANY MAIA DOS REIS</v>
      </c>
      <c r="D109" s="6" t="s">
        <v>557</v>
      </c>
      <c r="E109" s="12" t="str">
        <f aca="false">IFERROR(INDEX(Doc_Catalogo!$B:$B,MATCH(D109,Doc_Catalogo!$A:$A,0)),"")</f>
        <v>Carta de anuencia (NR33) — Colaborador</v>
      </c>
      <c r="F109" s="6"/>
      <c r="G109" s="17" t="n">
        <v>46828</v>
      </c>
      <c r="H109" s="12" t="str">
        <f aca="true">IF(G109="","N/A",IF(G109&lt;TODAY(),"VENCIDO",IF(G109&lt;=TODAY()+30,"VENCENDO","VALIDO")))</f>
        <v>VALIDO</v>
      </c>
      <c r="I109" s="6"/>
      <c r="J109" s="6"/>
    </row>
    <row r="110" customFormat="false" ht="15" hidden="false" customHeight="false" outlineLevel="0" collapsed="false">
      <c r="A110" s="6" t="s">
        <v>795</v>
      </c>
      <c r="B110" s="6" t="s">
        <v>299</v>
      </c>
      <c r="C110" s="12" t="str">
        <f aca="false">IFERROR(INDEX(Colaboradores!$E:$E,MATCH(B110,Colaboradores!$A:$A,0)),"")</f>
        <v>AVANY MAIA DOS REIS</v>
      </c>
      <c r="D110" s="6" t="s">
        <v>565</v>
      </c>
      <c r="E110" s="12" t="str">
        <f aca="false">IFERROR(INDEX(Doc_Catalogo!$B:$B,MATCH(D110,Doc_Catalogo!$A:$A,0)),"")</f>
        <v>Certificado da NR35 — Colaborador</v>
      </c>
      <c r="F110" s="6"/>
      <c r="G110" s="17" t="n">
        <v>46832</v>
      </c>
      <c r="H110" s="12" t="str">
        <f aca="true">IF(G110="","N/A",IF(G110&lt;TODAY(),"VENCIDO",IF(G110&lt;=TODAY()+30,"VENCENDO","VALIDO")))</f>
        <v>VALIDO</v>
      </c>
      <c r="I110" s="6"/>
      <c r="J110" s="6"/>
    </row>
    <row r="111" customFormat="false" ht="15" hidden="false" customHeight="false" outlineLevel="0" collapsed="false">
      <c r="A111" s="7" t="s">
        <v>796</v>
      </c>
      <c r="B111" s="7" t="s">
        <v>299</v>
      </c>
      <c r="C111" s="16" t="str">
        <f aca="false">IFERROR(INDEX(Colaboradores!$E:$E,MATCH(B111,Colaboradores!$A:$A,0)),"")</f>
        <v>AVANY MAIA DOS REIS</v>
      </c>
      <c r="D111" s="7" t="s">
        <v>571</v>
      </c>
      <c r="E111" s="16" t="str">
        <f aca="false">IFERROR(INDEX(Doc_Catalogo!$B:$B,MATCH(D111,Doc_Catalogo!$A:$A,0)),"")</f>
        <v>Ficha de Registro</v>
      </c>
      <c r="F111" s="7"/>
      <c r="G111" s="13"/>
      <c r="H111" s="16" t="str">
        <f aca="true">IF(G111="","N/A",IF(G111&lt;TODAY(),"VENCIDO",IF(G111&lt;=TODAY()+30,"VENCENDO","VALIDO")))</f>
        <v>N/A</v>
      </c>
      <c r="I111" s="7"/>
      <c r="J111" s="7" t="s">
        <v>686</v>
      </c>
    </row>
    <row r="112" customFormat="false" ht="15" hidden="false" customHeight="false" outlineLevel="0" collapsed="false">
      <c r="A112" s="7" t="s">
        <v>797</v>
      </c>
      <c r="B112" s="7" t="s">
        <v>299</v>
      </c>
      <c r="C112" s="16" t="str">
        <f aca="false">IFERROR(INDEX(Colaboradores!$E:$E,MATCH(B112,Colaboradores!$A:$A,0)),"")</f>
        <v>AVANY MAIA DOS REIS</v>
      </c>
      <c r="D112" s="7" t="s">
        <v>574</v>
      </c>
      <c r="E112" s="16" t="str">
        <f aca="false">IFERROR(INDEX(Doc_Catalogo!$B:$B,MATCH(D112,Doc_Catalogo!$A:$A,0)),"")</f>
        <v>E-social</v>
      </c>
      <c r="F112" s="7"/>
      <c r="G112" s="13"/>
      <c r="H112" s="16" t="str">
        <f aca="true">IF(G112="","N/A",IF(G112&lt;TODAY(),"VENCIDO",IF(G112&lt;=TODAY()+30,"VENCENDO","VALIDO")))</f>
        <v>N/A</v>
      </c>
      <c r="I112" s="7"/>
      <c r="J112" s="7" t="s">
        <v>686</v>
      </c>
    </row>
    <row r="113" customFormat="false" ht="15" hidden="false" customHeight="false" outlineLevel="0" collapsed="false">
      <c r="A113" s="7" t="s">
        <v>798</v>
      </c>
      <c r="B113" s="7" t="s">
        <v>299</v>
      </c>
      <c r="C113" s="16" t="str">
        <f aca="false">IFERROR(INDEX(Colaboradores!$E:$E,MATCH(B113,Colaboradores!$A:$A,0)),"")</f>
        <v>AVANY MAIA DOS REIS</v>
      </c>
      <c r="D113" s="7" t="s">
        <v>577</v>
      </c>
      <c r="E113" s="16" t="str">
        <f aca="false">IFERROR(INDEX(Doc_Catalogo!$B:$B,MATCH(D113,Doc_Catalogo!$A:$A,0)),"")</f>
        <v>Contrato de Trabalho</v>
      </c>
      <c r="F113" s="7"/>
      <c r="G113" s="13"/>
      <c r="H113" s="16" t="str">
        <f aca="true">IF(G113="","N/A",IF(G113&lt;TODAY(),"VENCIDO",IF(G113&lt;=TODAY()+30,"VENCENDO","VALIDO")))</f>
        <v>N/A</v>
      </c>
      <c r="I113" s="7"/>
      <c r="J113" s="7" t="s">
        <v>686</v>
      </c>
    </row>
    <row r="114" customFormat="false" ht="15" hidden="false" customHeight="false" outlineLevel="0" collapsed="false">
      <c r="A114" s="7" t="s">
        <v>799</v>
      </c>
      <c r="B114" s="7" t="s">
        <v>299</v>
      </c>
      <c r="C114" s="16" t="str">
        <f aca="false">IFERROR(INDEX(Colaboradores!$E:$E,MATCH(B114,Colaboradores!$A:$A,0)),"")</f>
        <v>AVANY MAIA DOS REIS</v>
      </c>
      <c r="D114" s="7" t="s">
        <v>586</v>
      </c>
      <c r="E114" s="16" t="str">
        <f aca="false">IFERROR(INDEX(Doc_Catalogo!$B:$B,MATCH(D114,Doc_Catalogo!$A:$A,0)),"")</f>
        <v>Ordem de Servico</v>
      </c>
      <c r="F114" s="7"/>
      <c r="G114" s="13"/>
      <c r="H114" s="16" t="str">
        <f aca="true">IF(G114="","N/A",IF(G114&lt;TODAY(),"VENCIDO",IF(G114&lt;=TODAY()+30,"VENCENDO","VALIDO")))</f>
        <v>N/A</v>
      </c>
      <c r="I114" s="7"/>
      <c r="J114" s="7" t="s">
        <v>686</v>
      </c>
    </row>
    <row r="115" customFormat="false" ht="15" hidden="false" customHeight="false" outlineLevel="0" collapsed="false">
      <c r="A115" s="7" t="s">
        <v>800</v>
      </c>
      <c r="B115" s="7" t="s">
        <v>299</v>
      </c>
      <c r="C115" s="16" t="str">
        <f aca="false">IFERROR(INDEX(Colaboradores!$E:$E,MATCH(B115,Colaboradores!$A:$A,0)),"")</f>
        <v>AVANY MAIA DOS REIS</v>
      </c>
      <c r="D115" s="7" t="s">
        <v>588</v>
      </c>
      <c r="E115" s="16" t="str">
        <f aca="false">IFERROR(INDEX(Doc_Catalogo!$B:$B,MATCH(D115,Doc_Catalogo!$A:$A,0)),"")</f>
        <v>Ficha de EPI Atualizada</v>
      </c>
      <c r="F115" s="7"/>
      <c r="G115" s="13"/>
      <c r="H115" s="16" t="str">
        <f aca="true">IF(G115="","N/A",IF(G115&lt;TODAY(),"VENCIDO",IF(G115&lt;=TODAY()+30,"VENCENDO","VALIDO")))</f>
        <v>N/A</v>
      </c>
      <c r="I115" s="7"/>
      <c r="J115" s="7" t="s">
        <v>686</v>
      </c>
    </row>
    <row r="116" customFormat="false" ht="15" hidden="false" customHeight="false" outlineLevel="0" collapsed="false">
      <c r="A116" s="6" t="s">
        <v>801</v>
      </c>
      <c r="B116" s="6" t="s">
        <v>305</v>
      </c>
      <c r="C116" s="12" t="str">
        <f aca="false">IFERROR(INDEX(Colaboradores!$E:$E,MATCH(B116,Colaboradores!$A:$A,0)),"")</f>
        <v>CARLOS JORGE DA SILVA</v>
      </c>
      <c r="D116" s="6" t="s">
        <v>498</v>
      </c>
      <c r="E116" s="12" t="str">
        <f aca="false">IFERROR(INDEX(Doc_Catalogo!$B:$B,MATCH(D116,Doc_Catalogo!$A:$A,0)),"")</f>
        <v>CNH</v>
      </c>
      <c r="F116" s="6"/>
      <c r="G116" s="17" t="n">
        <v>46533</v>
      </c>
      <c r="H116" s="12" t="str">
        <f aca="true">IF(G116="","N/A",IF(G116&lt;TODAY(),"VENCIDO",IF(G116&lt;=TODAY()+30,"VENCENDO","VALIDO")))</f>
        <v>VALIDO</v>
      </c>
      <c r="I116" s="6"/>
      <c r="J116" s="6"/>
    </row>
    <row r="117" customFormat="false" ht="15" hidden="false" customHeight="false" outlineLevel="0" collapsed="false">
      <c r="A117" s="6" t="s">
        <v>802</v>
      </c>
      <c r="B117" s="6" t="s">
        <v>305</v>
      </c>
      <c r="C117" s="12" t="str">
        <f aca="false">IFERROR(INDEX(Colaboradores!$E:$E,MATCH(B117,Colaboradores!$A:$A,0)),"")</f>
        <v>CARLOS JORGE DA SILVA</v>
      </c>
      <c r="D117" s="6" t="s">
        <v>501</v>
      </c>
      <c r="E117" s="12" t="str">
        <f aca="false">IFERROR(INDEX(Doc_Catalogo!$B:$B,MATCH(D117,Doc_Catalogo!$A:$A,0)),"")</f>
        <v>ASO</v>
      </c>
      <c r="F117" s="6"/>
      <c r="G117" s="17" t="n">
        <v>46437</v>
      </c>
      <c r="H117" s="12" t="str">
        <f aca="true">IF(G117="","N/A",IF(G117&lt;TODAY(),"VENCIDO",IF(G117&lt;=TODAY()+30,"VENCENDO","VALIDO")))</f>
        <v>VALIDO</v>
      </c>
      <c r="I117" s="6"/>
      <c r="J117" s="6"/>
    </row>
    <row r="118" customFormat="false" ht="15" hidden="false" customHeight="false" outlineLevel="0" collapsed="false">
      <c r="A118" s="6" t="s">
        <v>803</v>
      </c>
      <c r="B118" s="6" t="s">
        <v>305</v>
      </c>
      <c r="C118" s="12" t="str">
        <f aca="false">IFERROR(INDEX(Colaboradores!$E:$E,MATCH(B118,Colaboradores!$A:$A,0)),"")</f>
        <v>CARLOS JORGE DA SILVA</v>
      </c>
      <c r="D118" s="6" t="s">
        <v>519</v>
      </c>
      <c r="E118" s="12" t="str">
        <f aca="false">IFERROR(INDEX(Doc_Catalogo!$B:$B,MATCH(D118,Doc_Catalogo!$A:$A,0)),"")</f>
        <v>Certificado da NR06 — Colaborador</v>
      </c>
      <c r="F118" s="6"/>
      <c r="G118" s="17" t="n">
        <v>46210</v>
      </c>
      <c r="H118" s="12" t="str">
        <f aca="true">IF(G118="","N/A",IF(G118&lt;TODAY(),"VENCIDO",IF(G118&lt;=TODAY()+30,"VENCENDO","VALIDO")))</f>
        <v>VENCIDO</v>
      </c>
      <c r="I118" s="6"/>
      <c r="J118" s="6"/>
    </row>
    <row r="119" customFormat="false" ht="15" hidden="false" customHeight="false" outlineLevel="0" collapsed="false">
      <c r="A119" s="6" t="s">
        <v>804</v>
      </c>
      <c r="B119" s="6" t="s">
        <v>305</v>
      </c>
      <c r="C119" s="12" t="str">
        <f aca="false">IFERROR(INDEX(Colaboradores!$E:$E,MATCH(B119,Colaboradores!$A:$A,0)),"")</f>
        <v>CARLOS JORGE DA SILVA</v>
      </c>
      <c r="D119" s="6" t="s">
        <v>524</v>
      </c>
      <c r="E119" s="12" t="str">
        <f aca="false">IFERROR(INDEX(Doc_Catalogo!$B:$B,MATCH(D119,Doc_Catalogo!$A:$A,0)),"")</f>
        <v>Certificado da NR10 — Colaborador</v>
      </c>
      <c r="F119" s="6"/>
      <c r="G119" s="17" t="n">
        <v>46544</v>
      </c>
      <c r="H119" s="12" t="str">
        <f aca="true">IF(G119="","N/A",IF(G119&lt;TODAY(),"VENCIDO",IF(G119&lt;=TODAY()+30,"VENCENDO","VALIDO")))</f>
        <v>VALIDO</v>
      </c>
      <c r="I119" s="6"/>
      <c r="J119" s="6"/>
    </row>
    <row r="120" customFormat="false" ht="15" hidden="false" customHeight="false" outlineLevel="0" collapsed="false">
      <c r="A120" s="6" t="s">
        <v>805</v>
      </c>
      <c r="B120" s="6" t="s">
        <v>305</v>
      </c>
      <c r="C120" s="12" t="str">
        <f aca="false">IFERROR(INDEX(Colaboradores!$E:$E,MATCH(B120,Colaboradores!$A:$A,0)),"")</f>
        <v>CARLOS JORGE DA SILVA</v>
      </c>
      <c r="D120" s="6" t="s">
        <v>537</v>
      </c>
      <c r="E120" s="12" t="str">
        <f aca="false">IFERROR(INDEX(Doc_Catalogo!$B:$B,MATCH(D120,Doc_Catalogo!$A:$A,0)),"")</f>
        <v>Certificado da NR12 — Colaborador</v>
      </c>
      <c r="F120" s="6"/>
      <c r="G120" s="17" t="n">
        <v>46550</v>
      </c>
      <c r="H120" s="12" t="str">
        <f aca="true">IF(G120="","N/A",IF(G120&lt;TODAY(),"VENCIDO",IF(G120&lt;=TODAY()+30,"VENCENDO","VALIDO")))</f>
        <v>VALIDO</v>
      </c>
      <c r="I120" s="6"/>
      <c r="J120" s="6"/>
    </row>
    <row r="121" customFormat="false" ht="15" hidden="false" customHeight="false" outlineLevel="0" collapsed="false">
      <c r="A121" s="6" t="s">
        <v>806</v>
      </c>
      <c r="B121" s="6" t="s">
        <v>305</v>
      </c>
      <c r="C121" s="12" t="str">
        <f aca="false">IFERROR(INDEX(Colaboradores!$E:$E,MATCH(B121,Colaboradores!$A:$A,0)),"")</f>
        <v>CARLOS JORGE DA SILVA</v>
      </c>
      <c r="D121" s="6" t="s">
        <v>549</v>
      </c>
      <c r="E121" s="12" t="str">
        <f aca="false">IFERROR(INDEX(Doc_Catalogo!$B:$B,MATCH(D121,Doc_Catalogo!$A:$A,0)),"")</f>
        <v>Certificado da NR18 — Colaborador</v>
      </c>
      <c r="F121" s="6"/>
      <c r="G121" s="17" t="n">
        <v>46558</v>
      </c>
      <c r="H121" s="12" t="str">
        <f aca="true">IF(G121="","N/A",IF(G121&lt;TODAY(),"VENCIDO",IF(G121&lt;=TODAY()+30,"VENCENDO","VALIDO")))</f>
        <v>VALIDO</v>
      </c>
      <c r="I121" s="6"/>
      <c r="J121" s="6"/>
    </row>
    <row r="122" customFormat="false" ht="15" hidden="false" customHeight="false" outlineLevel="0" collapsed="false">
      <c r="A122" s="6" t="s">
        <v>807</v>
      </c>
      <c r="B122" s="6" t="s">
        <v>305</v>
      </c>
      <c r="C122" s="12" t="str">
        <f aca="false">IFERROR(INDEX(Colaboradores!$E:$E,MATCH(B122,Colaboradores!$A:$A,0)),"")</f>
        <v>CARLOS JORGE DA SILVA</v>
      </c>
      <c r="D122" s="6" t="s">
        <v>553</v>
      </c>
      <c r="E122" s="12" t="str">
        <f aca="false">IFERROR(INDEX(Doc_Catalogo!$B:$B,MATCH(D122,Doc_Catalogo!$A:$A,0)),"")</f>
        <v>Certificado da NR33 — Colaborador</v>
      </c>
      <c r="F122" s="6"/>
      <c r="G122" s="17" t="n">
        <v>46191</v>
      </c>
      <c r="H122" s="12" t="str">
        <f aca="true">IF(G122="","N/A",IF(G122&lt;TODAY(),"VENCIDO",IF(G122&lt;=TODAY()+30,"VENCENDO","VALIDO")))</f>
        <v>VENCIDO</v>
      </c>
      <c r="I122" s="6"/>
      <c r="J122" s="6"/>
    </row>
    <row r="123" customFormat="false" ht="15" hidden="false" customHeight="false" outlineLevel="0" collapsed="false">
      <c r="A123" s="6" t="s">
        <v>808</v>
      </c>
      <c r="B123" s="6" t="s">
        <v>305</v>
      </c>
      <c r="C123" s="12" t="str">
        <f aca="false">IFERROR(INDEX(Colaboradores!$E:$E,MATCH(B123,Colaboradores!$A:$A,0)),"")</f>
        <v>CARLOS JORGE DA SILVA</v>
      </c>
      <c r="D123" s="6" t="s">
        <v>565</v>
      </c>
      <c r="E123" s="12" t="str">
        <f aca="false">IFERROR(INDEX(Doc_Catalogo!$B:$B,MATCH(D123,Doc_Catalogo!$A:$A,0)),"")</f>
        <v>Certificado da NR35 — Colaborador</v>
      </c>
      <c r="F123" s="6"/>
      <c r="G123" s="17" t="n">
        <v>46554</v>
      </c>
      <c r="H123" s="12" t="str">
        <f aca="true">IF(G123="","N/A",IF(G123&lt;TODAY(),"VENCIDO",IF(G123&lt;=TODAY()+30,"VENCENDO","VALIDO")))</f>
        <v>VALIDO</v>
      </c>
      <c r="I123" s="6"/>
      <c r="J123" s="6"/>
    </row>
    <row r="124" customFormat="false" ht="15" hidden="false" customHeight="false" outlineLevel="0" collapsed="false">
      <c r="A124" s="7" t="s">
        <v>809</v>
      </c>
      <c r="B124" s="7" t="s">
        <v>305</v>
      </c>
      <c r="C124" s="16" t="str">
        <f aca="false">IFERROR(INDEX(Colaboradores!$E:$E,MATCH(B124,Colaboradores!$A:$A,0)),"")</f>
        <v>CARLOS JORGE DA SILVA</v>
      </c>
      <c r="D124" s="7" t="s">
        <v>571</v>
      </c>
      <c r="E124" s="16" t="str">
        <f aca="false">IFERROR(INDEX(Doc_Catalogo!$B:$B,MATCH(D124,Doc_Catalogo!$A:$A,0)),"")</f>
        <v>Ficha de Registro</v>
      </c>
      <c r="F124" s="7"/>
      <c r="G124" s="13"/>
      <c r="H124" s="16" t="str">
        <f aca="true">IF(G124="","N/A",IF(G124&lt;TODAY(),"VENCIDO",IF(G124&lt;=TODAY()+30,"VENCENDO","VALIDO")))</f>
        <v>N/A</v>
      </c>
      <c r="I124" s="7"/>
      <c r="J124" s="7" t="s">
        <v>686</v>
      </c>
    </row>
    <row r="125" customFormat="false" ht="15" hidden="false" customHeight="false" outlineLevel="0" collapsed="false">
      <c r="A125" s="7" t="s">
        <v>810</v>
      </c>
      <c r="B125" s="7" t="s">
        <v>305</v>
      </c>
      <c r="C125" s="16" t="str">
        <f aca="false">IFERROR(INDEX(Colaboradores!$E:$E,MATCH(B125,Colaboradores!$A:$A,0)),"")</f>
        <v>CARLOS JORGE DA SILVA</v>
      </c>
      <c r="D125" s="7" t="s">
        <v>574</v>
      </c>
      <c r="E125" s="16" t="str">
        <f aca="false">IFERROR(INDEX(Doc_Catalogo!$B:$B,MATCH(D125,Doc_Catalogo!$A:$A,0)),"")</f>
        <v>E-social</v>
      </c>
      <c r="F125" s="7"/>
      <c r="G125" s="13"/>
      <c r="H125" s="16" t="str">
        <f aca="true">IF(G125="","N/A",IF(G125&lt;TODAY(),"VENCIDO",IF(G125&lt;=TODAY()+30,"VENCENDO","VALIDO")))</f>
        <v>N/A</v>
      </c>
      <c r="I125" s="7"/>
      <c r="J125" s="7" t="s">
        <v>686</v>
      </c>
    </row>
    <row r="126" customFormat="false" ht="15" hidden="false" customHeight="false" outlineLevel="0" collapsed="false">
      <c r="A126" s="7" t="s">
        <v>811</v>
      </c>
      <c r="B126" s="7" t="s">
        <v>305</v>
      </c>
      <c r="C126" s="16" t="str">
        <f aca="false">IFERROR(INDEX(Colaboradores!$E:$E,MATCH(B126,Colaboradores!$A:$A,0)),"")</f>
        <v>CARLOS JORGE DA SILVA</v>
      </c>
      <c r="D126" s="7" t="s">
        <v>579</v>
      </c>
      <c r="E126" s="16" t="str">
        <f aca="false">IFERROR(INDEX(Doc_Catalogo!$B:$B,MATCH(D126,Doc_Catalogo!$A:$A,0)),"")</f>
        <v>Contrato Experiencia</v>
      </c>
      <c r="F126" s="7"/>
      <c r="G126" s="13"/>
      <c r="H126" s="16" t="str">
        <f aca="true">IF(G126="","N/A",IF(G126&lt;TODAY(),"VENCIDO",IF(G126&lt;=TODAY()+30,"VENCENDO","VALIDO")))</f>
        <v>N/A</v>
      </c>
      <c r="I126" s="7"/>
      <c r="J126" s="7" t="s">
        <v>686</v>
      </c>
    </row>
    <row r="127" customFormat="false" ht="15" hidden="false" customHeight="false" outlineLevel="0" collapsed="false">
      <c r="A127" s="7" t="s">
        <v>812</v>
      </c>
      <c r="B127" s="7" t="s">
        <v>305</v>
      </c>
      <c r="C127" s="16" t="str">
        <f aca="false">IFERROR(INDEX(Colaboradores!$E:$E,MATCH(B127,Colaboradores!$A:$A,0)),"")</f>
        <v>CARLOS JORGE DA SILVA</v>
      </c>
      <c r="D127" s="7" t="s">
        <v>586</v>
      </c>
      <c r="E127" s="16" t="str">
        <f aca="false">IFERROR(INDEX(Doc_Catalogo!$B:$B,MATCH(D127,Doc_Catalogo!$A:$A,0)),"")</f>
        <v>Ordem de Servico</v>
      </c>
      <c r="F127" s="7"/>
      <c r="G127" s="13"/>
      <c r="H127" s="16" t="str">
        <f aca="true">IF(G127="","N/A",IF(G127&lt;TODAY(),"VENCIDO",IF(G127&lt;=TODAY()+30,"VENCENDO","VALIDO")))</f>
        <v>N/A</v>
      </c>
      <c r="I127" s="7"/>
      <c r="J127" s="7" t="s">
        <v>686</v>
      </c>
    </row>
    <row r="128" customFormat="false" ht="15" hidden="false" customHeight="false" outlineLevel="0" collapsed="false">
      <c r="A128" s="7" t="s">
        <v>813</v>
      </c>
      <c r="B128" s="7" t="s">
        <v>305</v>
      </c>
      <c r="C128" s="16" t="str">
        <f aca="false">IFERROR(INDEX(Colaboradores!$E:$E,MATCH(B128,Colaboradores!$A:$A,0)),"")</f>
        <v>CARLOS JORGE DA SILVA</v>
      </c>
      <c r="D128" s="7" t="s">
        <v>588</v>
      </c>
      <c r="E128" s="16" t="str">
        <f aca="false">IFERROR(INDEX(Doc_Catalogo!$B:$B,MATCH(D128,Doc_Catalogo!$A:$A,0)),"")</f>
        <v>Ficha de EPI Atualizada</v>
      </c>
      <c r="F128" s="7"/>
      <c r="G128" s="13"/>
      <c r="H128" s="16" t="str">
        <f aca="true">IF(G128="","N/A",IF(G128&lt;TODAY(),"VENCIDO",IF(G128&lt;=TODAY()+30,"VENCENDO","VALIDO")))</f>
        <v>N/A</v>
      </c>
      <c r="I128" s="7"/>
      <c r="J128" s="7" t="s">
        <v>686</v>
      </c>
    </row>
    <row r="129" customFormat="false" ht="15" hidden="false" customHeight="false" outlineLevel="0" collapsed="false">
      <c r="A129" s="7" t="s">
        <v>814</v>
      </c>
      <c r="B129" s="7" t="s">
        <v>253</v>
      </c>
      <c r="C129" s="16" t="str">
        <f aca="false">IFERROR(INDEX(Colaboradores!$E:$E,MATCH(B129,Colaboradores!$A:$A,0)),"")</f>
        <v>FERNANDO PAVANE MASSEI</v>
      </c>
      <c r="D129" s="7" t="s">
        <v>577</v>
      </c>
      <c r="E129" s="16" t="str">
        <f aca="false">IFERROR(INDEX(Doc_Catalogo!$B:$B,MATCH(D129,Doc_Catalogo!$A:$A,0)),"")</f>
        <v>Contrato de Trabalho</v>
      </c>
      <c r="F129" s="7"/>
      <c r="G129" s="13"/>
      <c r="H129" s="16" t="str">
        <f aca="true">IF(G129="","N/A",IF(G129&lt;TODAY(),"VENCIDO",IF(G129&lt;=TODAY()+30,"VENCENDO","VALIDO")))</f>
        <v>N/A</v>
      </c>
      <c r="I129" s="7"/>
      <c r="J129" s="7" t="s">
        <v>686</v>
      </c>
    </row>
    <row r="130" customFormat="false" ht="15" hidden="false" customHeight="false" outlineLevel="0" collapsed="false">
      <c r="A130" s="6" t="s">
        <v>815</v>
      </c>
      <c r="B130" s="6" t="s">
        <v>258</v>
      </c>
      <c r="C130" s="12" t="str">
        <f aca="false">IFERROR(INDEX(Colaboradores!$E:$E,MATCH(B130,Colaboradores!$A:$A,0)),"")</f>
        <v>CARLOS ALBERTO CARVALHO DA SILVA</v>
      </c>
      <c r="D130" s="6" t="s">
        <v>498</v>
      </c>
      <c r="E130" s="12" t="str">
        <f aca="false">IFERROR(INDEX(Doc_Catalogo!$B:$B,MATCH(D130,Doc_Catalogo!$A:$A,0)),"")</f>
        <v>CNH</v>
      </c>
      <c r="F130" s="6"/>
      <c r="G130" s="17" t="n">
        <v>48774</v>
      </c>
      <c r="H130" s="12" t="str">
        <f aca="true">IF(G130="","N/A",IF(G130&lt;TODAY(),"VENCIDO",IF(G130&lt;=TODAY()+30,"VENCENDO","VALIDO")))</f>
        <v>VALIDO</v>
      </c>
      <c r="I130" s="6"/>
      <c r="J130" s="6"/>
    </row>
    <row r="131" customFormat="false" ht="15" hidden="false" customHeight="false" outlineLevel="0" collapsed="false">
      <c r="A131" s="6" t="s">
        <v>816</v>
      </c>
      <c r="B131" s="6" t="s">
        <v>258</v>
      </c>
      <c r="C131" s="12" t="str">
        <f aca="false">IFERROR(INDEX(Colaboradores!$E:$E,MATCH(B131,Colaboradores!$A:$A,0)),"")</f>
        <v>CARLOS ALBERTO CARVALHO DA SILVA</v>
      </c>
      <c r="D131" s="6" t="s">
        <v>501</v>
      </c>
      <c r="E131" s="12" t="str">
        <f aca="false">IFERROR(INDEX(Doc_Catalogo!$B:$B,MATCH(D131,Doc_Catalogo!$A:$A,0)),"")</f>
        <v>ASO</v>
      </c>
      <c r="F131" s="6"/>
      <c r="G131" s="17" t="n">
        <v>45754</v>
      </c>
      <c r="H131" s="12" t="str">
        <f aca="true">IF(G131="","N/A",IF(G131&lt;TODAY(),"VENCIDO",IF(G131&lt;=TODAY()+30,"VENCENDO","VALIDO")))</f>
        <v>VENCIDO</v>
      </c>
      <c r="I131" s="6"/>
      <c r="J131" s="6"/>
    </row>
    <row r="132" customFormat="false" ht="15" hidden="false" customHeight="false" outlineLevel="0" collapsed="false">
      <c r="A132" s="6" t="s">
        <v>817</v>
      </c>
      <c r="B132" s="6" t="s">
        <v>258</v>
      </c>
      <c r="C132" s="12" t="str">
        <f aca="false">IFERROR(INDEX(Colaboradores!$E:$E,MATCH(B132,Colaboradores!$A:$A,0)),"")</f>
        <v>CARLOS ALBERTO CARVALHO DA SILVA</v>
      </c>
      <c r="D132" s="6" t="s">
        <v>519</v>
      </c>
      <c r="E132" s="12" t="str">
        <f aca="false">IFERROR(INDEX(Doc_Catalogo!$B:$B,MATCH(D132,Doc_Catalogo!$A:$A,0)),"")</f>
        <v>Certificado da NR06 — Colaborador</v>
      </c>
      <c r="F132" s="6"/>
      <c r="G132" s="17" t="n">
        <v>46420</v>
      </c>
      <c r="H132" s="12" t="str">
        <f aca="true">IF(G132="","N/A",IF(G132&lt;TODAY(),"VENCIDO",IF(G132&lt;=TODAY()+30,"VENCENDO","VALIDO")))</f>
        <v>VALIDO</v>
      </c>
      <c r="I132" s="6"/>
      <c r="J132" s="6"/>
    </row>
    <row r="133" customFormat="false" ht="15" hidden="false" customHeight="false" outlineLevel="0" collapsed="false">
      <c r="A133" s="6" t="s">
        <v>818</v>
      </c>
      <c r="B133" s="6" t="s">
        <v>258</v>
      </c>
      <c r="C133" s="12" t="str">
        <f aca="false">IFERROR(INDEX(Colaboradores!$E:$E,MATCH(B133,Colaboradores!$A:$A,0)),"")</f>
        <v>CARLOS ALBERTO CARVALHO DA SILVA</v>
      </c>
      <c r="D133" s="6" t="s">
        <v>524</v>
      </c>
      <c r="E133" s="12" t="str">
        <f aca="false">IFERROR(INDEX(Doc_Catalogo!$B:$B,MATCH(D133,Doc_Catalogo!$A:$A,0)),"")</f>
        <v>Certificado da NR10 — Colaborador</v>
      </c>
      <c r="F133" s="6"/>
      <c r="G133" s="17" t="n">
        <v>47066</v>
      </c>
      <c r="H133" s="12" t="str">
        <f aca="true">IF(G133="","N/A",IF(G133&lt;TODAY(),"VENCIDO",IF(G133&lt;=TODAY()+30,"VENCENDO","VALIDO")))</f>
        <v>VALIDO</v>
      </c>
      <c r="I133" s="6"/>
      <c r="J133" s="6"/>
    </row>
    <row r="134" customFormat="false" ht="15" hidden="false" customHeight="false" outlineLevel="0" collapsed="false">
      <c r="A134" s="6" t="s">
        <v>819</v>
      </c>
      <c r="B134" s="6" t="s">
        <v>258</v>
      </c>
      <c r="C134" s="12" t="str">
        <f aca="false">IFERROR(INDEX(Colaboradores!$E:$E,MATCH(B134,Colaboradores!$A:$A,0)),"")</f>
        <v>CARLOS ALBERTO CARVALHO DA SILVA</v>
      </c>
      <c r="D134" s="6" t="s">
        <v>537</v>
      </c>
      <c r="E134" s="12" t="str">
        <f aca="false">IFERROR(INDEX(Doc_Catalogo!$B:$B,MATCH(D134,Doc_Catalogo!$A:$A,0)),"")</f>
        <v>Certificado da NR12 — Colaborador</v>
      </c>
      <c r="F134" s="6"/>
      <c r="G134" s="17" t="n">
        <v>46806</v>
      </c>
      <c r="H134" s="12" t="str">
        <f aca="true">IF(G134="","N/A",IF(G134&lt;TODAY(),"VENCIDO",IF(G134&lt;=TODAY()+30,"VENCENDO","VALIDO")))</f>
        <v>VALIDO</v>
      </c>
      <c r="I134" s="6"/>
      <c r="J134" s="6"/>
    </row>
    <row r="135" customFormat="false" ht="15" hidden="false" customHeight="false" outlineLevel="0" collapsed="false">
      <c r="A135" s="6" t="s">
        <v>820</v>
      </c>
      <c r="B135" s="6" t="s">
        <v>258</v>
      </c>
      <c r="C135" s="12" t="str">
        <f aca="false">IFERROR(INDEX(Colaboradores!$E:$E,MATCH(B135,Colaboradores!$A:$A,0)),"")</f>
        <v>CARLOS ALBERTO CARVALHO DA SILVA</v>
      </c>
      <c r="D135" s="6" t="s">
        <v>549</v>
      </c>
      <c r="E135" s="12" t="str">
        <f aca="false">IFERROR(INDEX(Doc_Catalogo!$B:$B,MATCH(D135,Doc_Catalogo!$A:$A,0)),"")</f>
        <v>Certificado da NR18 — Colaborador</v>
      </c>
      <c r="F135" s="6"/>
      <c r="G135" s="17" t="n">
        <v>46807</v>
      </c>
      <c r="H135" s="12" t="str">
        <f aca="true">IF(G135="","N/A",IF(G135&lt;TODAY(),"VENCIDO",IF(G135&lt;=TODAY()+30,"VENCENDO","VALIDO")))</f>
        <v>VALIDO</v>
      </c>
      <c r="I135" s="6"/>
      <c r="J135" s="6"/>
    </row>
    <row r="136" customFormat="false" ht="15" hidden="false" customHeight="false" outlineLevel="0" collapsed="false">
      <c r="A136" s="6" t="s">
        <v>821</v>
      </c>
      <c r="B136" s="6" t="s">
        <v>258</v>
      </c>
      <c r="C136" s="12" t="str">
        <f aca="false">IFERROR(INDEX(Colaboradores!$E:$E,MATCH(B136,Colaboradores!$A:$A,0)),"")</f>
        <v>CARLOS ALBERTO CARVALHO DA SILVA</v>
      </c>
      <c r="D136" s="6" t="s">
        <v>553</v>
      </c>
      <c r="E136" s="12" t="str">
        <f aca="false">IFERROR(INDEX(Doc_Catalogo!$B:$B,MATCH(D136,Doc_Catalogo!$A:$A,0)),"")</f>
        <v>Certificado da NR33 — Colaborador</v>
      </c>
      <c r="F136" s="6"/>
      <c r="G136" s="17" t="n">
        <v>46093</v>
      </c>
      <c r="H136" s="12" t="str">
        <f aca="true">IF(G136="","N/A",IF(G136&lt;TODAY(),"VENCIDO",IF(G136&lt;=TODAY()+30,"VENCENDO","VALIDO")))</f>
        <v>VENCIDO</v>
      </c>
      <c r="I136" s="6"/>
      <c r="J136" s="6"/>
    </row>
    <row r="137" customFormat="false" ht="15" hidden="false" customHeight="false" outlineLevel="0" collapsed="false">
      <c r="A137" s="7" t="s">
        <v>822</v>
      </c>
      <c r="B137" s="7" t="s">
        <v>258</v>
      </c>
      <c r="C137" s="16" t="str">
        <f aca="false">IFERROR(INDEX(Colaboradores!$E:$E,MATCH(B137,Colaboradores!$A:$A,0)),"")</f>
        <v>CARLOS ALBERTO CARVALHO DA SILVA</v>
      </c>
      <c r="D137" s="7" t="s">
        <v>571</v>
      </c>
      <c r="E137" s="16" t="str">
        <f aca="false">IFERROR(INDEX(Doc_Catalogo!$B:$B,MATCH(D137,Doc_Catalogo!$A:$A,0)),"")</f>
        <v>Ficha de Registro</v>
      </c>
      <c r="F137" s="7"/>
      <c r="G137" s="13"/>
      <c r="H137" s="16" t="str">
        <f aca="true">IF(G137="","N/A",IF(G137&lt;TODAY(),"VENCIDO",IF(G137&lt;=TODAY()+30,"VENCENDO","VALIDO")))</f>
        <v>N/A</v>
      </c>
      <c r="I137" s="7"/>
      <c r="J137" s="7" t="s">
        <v>686</v>
      </c>
    </row>
    <row r="138" customFormat="false" ht="15" hidden="false" customHeight="false" outlineLevel="0" collapsed="false">
      <c r="A138" s="7" t="s">
        <v>823</v>
      </c>
      <c r="B138" s="7" t="s">
        <v>258</v>
      </c>
      <c r="C138" s="16" t="str">
        <f aca="false">IFERROR(INDEX(Colaboradores!$E:$E,MATCH(B138,Colaboradores!$A:$A,0)),"")</f>
        <v>CARLOS ALBERTO CARVALHO DA SILVA</v>
      </c>
      <c r="D138" s="7" t="s">
        <v>577</v>
      </c>
      <c r="E138" s="16" t="str">
        <f aca="false">IFERROR(INDEX(Doc_Catalogo!$B:$B,MATCH(D138,Doc_Catalogo!$A:$A,0)),"")</f>
        <v>Contrato de Trabalho</v>
      </c>
      <c r="F138" s="7"/>
      <c r="G138" s="13"/>
      <c r="H138" s="16" t="str">
        <f aca="true">IF(G138="","N/A",IF(G138&lt;TODAY(),"VENCIDO",IF(G138&lt;=TODAY()+30,"VENCENDO","VALIDO")))</f>
        <v>N/A</v>
      </c>
      <c r="I138" s="7"/>
      <c r="J138" s="7" t="s">
        <v>686</v>
      </c>
    </row>
    <row r="139" customFormat="false" ht="15" hidden="false" customHeight="false" outlineLevel="0" collapsed="false">
      <c r="A139" s="7" t="s">
        <v>824</v>
      </c>
      <c r="B139" s="7" t="s">
        <v>258</v>
      </c>
      <c r="C139" s="16" t="str">
        <f aca="false">IFERROR(INDEX(Colaboradores!$E:$E,MATCH(B139,Colaboradores!$A:$A,0)),"")</f>
        <v>CARLOS ALBERTO CARVALHO DA SILVA</v>
      </c>
      <c r="D139" s="7" t="s">
        <v>583</v>
      </c>
      <c r="E139" s="16" t="str">
        <f aca="false">IFERROR(INDEX(Doc_Catalogo!$B:$B,MATCH(D139,Doc_Catalogo!$A:$A,0)),"")</f>
        <v>CTPS Digital</v>
      </c>
      <c r="F139" s="7"/>
      <c r="G139" s="13"/>
      <c r="H139" s="16" t="str">
        <f aca="true">IF(G139="","N/A",IF(G139&lt;TODAY(),"VENCIDO",IF(G139&lt;=TODAY()+30,"VENCENDO","VALIDO")))</f>
        <v>N/A</v>
      </c>
      <c r="I139" s="7"/>
      <c r="J139" s="7" t="s">
        <v>686</v>
      </c>
    </row>
    <row r="140" customFormat="false" ht="15" hidden="false" customHeight="false" outlineLevel="0" collapsed="false">
      <c r="A140" s="7" t="s">
        <v>825</v>
      </c>
      <c r="B140" s="7" t="s">
        <v>258</v>
      </c>
      <c r="C140" s="16" t="str">
        <f aca="false">IFERROR(INDEX(Colaboradores!$E:$E,MATCH(B140,Colaboradores!$A:$A,0)),"")</f>
        <v>CARLOS ALBERTO CARVALHO DA SILVA</v>
      </c>
      <c r="D140" s="7" t="s">
        <v>588</v>
      </c>
      <c r="E140" s="16" t="str">
        <f aca="false">IFERROR(INDEX(Doc_Catalogo!$B:$B,MATCH(D140,Doc_Catalogo!$A:$A,0)),"")</f>
        <v>Ficha de EPI Atualizada</v>
      </c>
      <c r="F140" s="7"/>
      <c r="G140" s="13"/>
      <c r="H140" s="16" t="str">
        <f aca="true">IF(G140="","N/A",IF(G140&lt;TODAY(),"VENCIDO",IF(G140&lt;=TODAY()+30,"VENCENDO","VALIDO")))</f>
        <v>N/A</v>
      </c>
      <c r="I140" s="7"/>
      <c r="J140" s="7" t="s">
        <v>686</v>
      </c>
    </row>
    <row r="141" customFormat="false" ht="15" hidden="false" customHeight="false" outlineLevel="0" collapsed="false">
      <c r="A141" s="7" t="s">
        <v>826</v>
      </c>
      <c r="B141" s="7" t="s">
        <v>258</v>
      </c>
      <c r="C141" s="16" t="str">
        <f aca="false">IFERROR(INDEX(Colaboradores!$E:$E,MATCH(B141,Colaboradores!$A:$A,0)),"")</f>
        <v>CARLOS ALBERTO CARVALHO DA SILVA</v>
      </c>
      <c r="D141" s="7" t="s">
        <v>591</v>
      </c>
      <c r="E141" s="16" t="str">
        <f aca="false">IFERROR(INDEX(Doc_Catalogo!$B:$B,MATCH(D141,Doc_Catalogo!$A:$A,0)),"")</f>
        <v>Cartao de vacina (Tetano, Hepatite B e Febre amarela)</v>
      </c>
      <c r="F141" s="7"/>
      <c r="G141" s="13"/>
      <c r="H141" s="16" t="str">
        <f aca="true">IF(G141="","N/A",IF(G141&lt;TODAY(),"VENCIDO",IF(G141&lt;=TODAY()+30,"VENCENDO","VALIDO")))</f>
        <v>N/A</v>
      </c>
      <c r="I141" s="7"/>
      <c r="J141" s="7" t="s">
        <v>686</v>
      </c>
    </row>
    <row r="142" customFormat="false" ht="15" hidden="false" customHeight="false" outlineLevel="0" collapsed="false">
      <c r="A142" s="6" t="s">
        <v>827</v>
      </c>
      <c r="B142" s="6" t="s">
        <v>261</v>
      </c>
      <c r="C142" s="12" t="str">
        <f aca="false">IFERROR(INDEX(Colaboradores!$E:$E,MATCH(B142,Colaboradores!$A:$A,0)),"")</f>
        <v>KAUA WENDEL MENGALI DOMINGOS</v>
      </c>
      <c r="D142" s="6" t="s">
        <v>491</v>
      </c>
      <c r="E142" s="12" t="str">
        <f aca="false">IFERROR(INDEX(Doc_Catalogo!$B:$B,MATCH(D142,Doc_Catalogo!$A:$A,0)),"")</f>
        <v>RG</v>
      </c>
      <c r="F142" s="6"/>
      <c r="G142" s="17" t="n">
        <v>46933</v>
      </c>
      <c r="H142" s="12" t="str">
        <f aca="true">IF(G142="","N/A",IF(G142&lt;TODAY(),"VENCIDO",IF(G142&lt;=TODAY()+30,"VENCENDO","VALIDO")))</f>
        <v>VALIDO</v>
      </c>
      <c r="I142" s="6"/>
      <c r="J142" s="6"/>
    </row>
    <row r="143" customFormat="false" ht="15" hidden="false" customHeight="false" outlineLevel="0" collapsed="false">
      <c r="A143" s="6" t="s">
        <v>828</v>
      </c>
      <c r="B143" s="6" t="s">
        <v>261</v>
      </c>
      <c r="C143" s="12" t="str">
        <f aca="false">IFERROR(INDEX(Colaboradores!$E:$E,MATCH(B143,Colaboradores!$A:$A,0)),"")</f>
        <v>KAUA WENDEL MENGALI DOMINGOS</v>
      </c>
      <c r="D143" s="6" t="s">
        <v>498</v>
      </c>
      <c r="E143" s="12" t="str">
        <f aca="false">IFERROR(INDEX(Doc_Catalogo!$B:$B,MATCH(D143,Doc_Catalogo!$A:$A,0)),"")</f>
        <v>CNH</v>
      </c>
      <c r="F143" s="6"/>
      <c r="G143" s="17" t="n">
        <v>48308</v>
      </c>
      <c r="H143" s="12" t="str">
        <f aca="true">IF(G143="","N/A",IF(G143&lt;TODAY(),"VENCIDO",IF(G143&lt;=TODAY()+30,"VENCENDO","VALIDO")))</f>
        <v>VALIDO</v>
      </c>
      <c r="I143" s="6"/>
      <c r="J143" s="6"/>
    </row>
    <row r="144" customFormat="false" ht="15" hidden="false" customHeight="false" outlineLevel="0" collapsed="false">
      <c r="A144" s="6" t="s">
        <v>829</v>
      </c>
      <c r="B144" s="6" t="s">
        <v>261</v>
      </c>
      <c r="C144" s="12" t="str">
        <f aca="false">IFERROR(INDEX(Colaboradores!$E:$E,MATCH(B144,Colaboradores!$A:$A,0)),"")</f>
        <v>KAUA WENDEL MENGALI DOMINGOS</v>
      </c>
      <c r="D144" s="6" t="s">
        <v>501</v>
      </c>
      <c r="E144" s="12" t="str">
        <f aca="false">IFERROR(INDEX(Doc_Catalogo!$B:$B,MATCH(D144,Doc_Catalogo!$A:$A,0)),"")</f>
        <v>ASO</v>
      </c>
      <c r="F144" s="6"/>
      <c r="G144" s="17" t="n">
        <v>45993</v>
      </c>
      <c r="H144" s="12" t="str">
        <f aca="true">IF(G144="","N/A",IF(G144&lt;TODAY(),"VENCIDO",IF(G144&lt;=TODAY()+30,"VENCENDO","VALIDO")))</f>
        <v>VENCIDO</v>
      </c>
      <c r="I144" s="6"/>
      <c r="J144" s="6"/>
    </row>
    <row r="145" customFormat="false" ht="15" hidden="false" customHeight="false" outlineLevel="0" collapsed="false">
      <c r="A145" s="6" t="s">
        <v>830</v>
      </c>
      <c r="B145" s="6" t="s">
        <v>261</v>
      </c>
      <c r="C145" s="12" t="str">
        <f aca="false">IFERROR(INDEX(Colaboradores!$E:$E,MATCH(B145,Colaboradores!$A:$A,0)),"")</f>
        <v>KAUA WENDEL MENGALI DOMINGOS</v>
      </c>
      <c r="D145" s="6" t="s">
        <v>519</v>
      </c>
      <c r="E145" s="12" t="str">
        <f aca="false">IFERROR(INDEX(Doc_Catalogo!$B:$B,MATCH(D145,Doc_Catalogo!$A:$A,0)),"")</f>
        <v>Certificado da NR06 — Colaborador</v>
      </c>
      <c r="F145" s="6"/>
      <c r="G145" s="17" t="n">
        <v>46420</v>
      </c>
      <c r="H145" s="12" t="str">
        <f aca="true">IF(G145="","N/A",IF(G145&lt;TODAY(),"VENCIDO",IF(G145&lt;=TODAY()+30,"VENCENDO","VALIDO")))</f>
        <v>VALIDO</v>
      </c>
      <c r="I145" s="6"/>
      <c r="J145" s="6"/>
    </row>
    <row r="146" customFormat="false" ht="15" hidden="false" customHeight="false" outlineLevel="0" collapsed="false">
      <c r="A146" s="6" t="s">
        <v>831</v>
      </c>
      <c r="B146" s="6" t="s">
        <v>261</v>
      </c>
      <c r="C146" s="12" t="str">
        <f aca="false">IFERROR(INDEX(Colaboradores!$E:$E,MATCH(B146,Colaboradores!$A:$A,0)),"")</f>
        <v>KAUA WENDEL MENGALI DOMINGOS</v>
      </c>
      <c r="D146" s="6" t="s">
        <v>537</v>
      </c>
      <c r="E146" s="12" t="str">
        <f aca="false">IFERROR(INDEX(Doc_Catalogo!$B:$B,MATCH(D146,Doc_Catalogo!$A:$A,0)),"")</f>
        <v>Certificado da NR12 — Colaborador</v>
      </c>
      <c r="F146" s="6"/>
      <c r="G146" s="17" t="n">
        <v>46806</v>
      </c>
      <c r="H146" s="12" t="str">
        <f aca="true">IF(G146="","N/A",IF(G146&lt;TODAY(),"VENCIDO",IF(G146&lt;=TODAY()+30,"VENCENDO","VALIDO")))</f>
        <v>VALIDO</v>
      </c>
      <c r="I146" s="6"/>
      <c r="J146" s="6"/>
    </row>
    <row r="147" customFormat="false" ht="15" hidden="false" customHeight="false" outlineLevel="0" collapsed="false">
      <c r="A147" s="6" t="s">
        <v>832</v>
      </c>
      <c r="B147" s="6" t="s">
        <v>261</v>
      </c>
      <c r="C147" s="12" t="str">
        <f aca="false">IFERROR(INDEX(Colaboradores!$E:$E,MATCH(B147,Colaboradores!$A:$A,0)),"")</f>
        <v>KAUA WENDEL MENGALI DOMINGOS</v>
      </c>
      <c r="D147" s="6" t="s">
        <v>549</v>
      </c>
      <c r="E147" s="12" t="str">
        <f aca="false">IFERROR(INDEX(Doc_Catalogo!$B:$B,MATCH(D147,Doc_Catalogo!$A:$A,0)),"")</f>
        <v>Certificado da NR18 — Colaborador</v>
      </c>
      <c r="F147" s="6"/>
      <c r="G147" s="17" t="n">
        <v>46807</v>
      </c>
      <c r="H147" s="12" t="str">
        <f aca="true">IF(G147="","N/A",IF(G147&lt;TODAY(),"VENCIDO",IF(G147&lt;=TODAY()+30,"VENCENDO","VALIDO")))</f>
        <v>VALIDO</v>
      </c>
      <c r="I147" s="6"/>
      <c r="J147" s="6"/>
    </row>
    <row r="148" customFormat="false" ht="15" hidden="false" customHeight="false" outlineLevel="0" collapsed="false">
      <c r="A148" s="7" t="s">
        <v>833</v>
      </c>
      <c r="B148" s="7" t="s">
        <v>261</v>
      </c>
      <c r="C148" s="16" t="str">
        <f aca="false">IFERROR(INDEX(Colaboradores!$E:$E,MATCH(B148,Colaboradores!$A:$A,0)),"")</f>
        <v>KAUA WENDEL MENGALI DOMINGOS</v>
      </c>
      <c r="D148" s="7" t="s">
        <v>557</v>
      </c>
      <c r="E148" s="16" t="str">
        <f aca="false">IFERROR(INDEX(Doc_Catalogo!$B:$B,MATCH(D148,Doc_Catalogo!$A:$A,0)),"")</f>
        <v>Carta de anuencia (NR33) — Colaborador</v>
      </c>
      <c r="F148" s="7"/>
      <c r="G148" s="13"/>
      <c r="H148" s="16" t="str">
        <f aca="true">IF(G148="","N/A",IF(G148&lt;TODAY(),"VENCIDO",IF(G148&lt;=TODAY()+30,"VENCENDO","VALIDO")))</f>
        <v>N/A</v>
      </c>
      <c r="I148" s="7"/>
      <c r="J148" s="7" t="s">
        <v>686</v>
      </c>
    </row>
    <row r="149" customFormat="false" ht="15" hidden="false" customHeight="false" outlineLevel="0" collapsed="false">
      <c r="A149" s="6" t="s">
        <v>834</v>
      </c>
      <c r="B149" s="6" t="s">
        <v>261</v>
      </c>
      <c r="C149" s="12" t="str">
        <f aca="false">IFERROR(INDEX(Colaboradores!$E:$E,MATCH(B149,Colaboradores!$A:$A,0)),"")</f>
        <v>KAUA WENDEL MENGALI DOMINGOS</v>
      </c>
      <c r="D149" s="6" t="s">
        <v>565</v>
      </c>
      <c r="E149" s="12" t="str">
        <f aca="false">IFERROR(INDEX(Doc_Catalogo!$B:$B,MATCH(D149,Doc_Catalogo!$A:$A,0)),"")</f>
        <v>Certificado da NR35 — Colaborador</v>
      </c>
      <c r="F149" s="6"/>
      <c r="G149" s="17" t="n">
        <v>46809</v>
      </c>
      <c r="H149" s="12" t="str">
        <f aca="true">IF(G149="","N/A",IF(G149&lt;TODAY(),"VENCIDO",IF(G149&lt;=TODAY()+30,"VENCENDO","VALIDO")))</f>
        <v>VALIDO</v>
      </c>
      <c r="I149" s="6"/>
      <c r="J149" s="6"/>
    </row>
    <row r="150" customFormat="false" ht="15" hidden="false" customHeight="false" outlineLevel="0" collapsed="false">
      <c r="A150" s="6" t="s">
        <v>835</v>
      </c>
      <c r="B150" s="6" t="s">
        <v>261</v>
      </c>
      <c r="C150" s="12" t="str">
        <f aca="false">IFERROR(INDEX(Colaboradores!$E:$E,MATCH(B150,Colaboradores!$A:$A,0)),"")</f>
        <v>KAUA WENDEL MENGALI DOMINGOS</v>
      </c>
      <c r="D150" s="6" t="s">
        <v>569</v>
      </c>
      <c r="E150" s="12" t="str">
        <f aca="false">IFERROR(INDEX(Doc_Catalogo!$B:$B,MATCH(D150,Doc_Catalogo!$A:$A,0)),"")</f>
        <v>Carta de anuencia (NR35) — Colaborador</v>
      </c>
      <c r="F150" s="6"/>
      <c r="G150" s="17" t="n">
        <v>46809</v>
      </c>
      <c r="H150" s="12" t="str">
        <f aca="true">IF(G150="","N/A",IF(G150&lt;TODAY(),"VENCIDO",IF(G150&lt;=TODAY()+30,"VENCENDO","VALIDO")))</f>
        <v>VALIDO</v>
      </c>
      <c r="I150" s="6"/>
      <c r="J150" s="6"/>
    </row>
    <row r="151" customFormat="false" ht="15" hidden="false" customHeight="false" outlineLevel="0" collapsed="false">
      <c r="A151" s="7" t="s">
        <v>836</v>
      </c>
      <c r="B151" s="7" t="s">
        <v>261</v>
      </c>
      <c r="C151" s="16" t="str">
        <f aca="false">IFERROR(INDEX(Colaboradores!$E:$E,MATCH(B151,Colaboradores!$A:$A,0)),"")</f>
        <v>KAUA WENDEL MENGALI DOMINGOS</v>
      </c>
      <c r="D151" s="7" t="s">
        <v>571</v>
      </c>
      <c r="E151" s="16" t="str">
        <f aca="false">IFERROR(INDEX(Doc_Catalogo!$B:$B,MATCH(D151,Doc_Catalogo!$A:$A,0)),"")</f>
        <v>Ficha de Registro</v>
      </c>
      <c r="F151" s="7"/>
      <c r="G151" s="13"/>
      <c r="H151" s="16" t="str">
        <f aca="true">IF(G151="","N/A",IF(G151&lt;TODAY(),"VENCIDO",IF(G151&lt;=TODAY()+30,"VENCENDO","VALIDO")))</f>
        <v>N/A</v>
      </c>
      <c r="I151" s="7"/>
      <c r="J151" s="7" t="s">
        <v>686</v>
      </c>
    </row>
    <row r="152" customFormat="false" ht="15" hidden="false" customHeight="false" outlineLevel="0" collapsed="false">
      <c r="A152" s="7" t="s">
        <v>837</v>
      </c>
      <c r="B152" s="7" t="s">
        <v>261</v>
      </c>
      <c r="C152" s="16" t="str">
        <f aca="false">IFERROR(INDEX(Colaboradores!$E:$E,MATCH(B152,Colaboradores!$A:$A,0)),"")</f>
        <v>KAUA WENDEL MENGALI DOMINGOS</v>
      </c>
      <c r="D152" s="7" t="s">
        <v>577</v>
      </c>
      <c r="E152" s="16" t="str">
        <f aca="false">IFERROR(INDEX(Doc_Catalogo!$B:$B,MATCH(D152,Doc_Catalogo!$A:$A,0)),"")</f>
        <v>Contrato de Trabalho</v>
      </c>
      <c r="F152" s="7"/>
      <c r="G152" s="13"/>
      <c r="H152" s="16" t="str">
        <f aca="true">IF(G152="","N/A",IF(G152&lt;TODAY(),"VENCIDO",IF(G152&lt;=TODAY()+30,"VENCENDO","VALIDO")))</f>
        <v>N/A</v>
      </c>
      <c r="I152" s="7"/>
      <c r="J152" s="7" t="s">
        <v>686</v>
      </c>
    </row>
    <row r="153" customFormat="false" ht="15" hidden="false" customHeight="false" outlineLevel="0" collapsed="false">
      <c r="A153" s="7" t="s">
        <v>838</v>
      </c>
      <c r="B153" s="7" t="s">
        <v>261</v>
      </c>
      <c r="C153" s="16" t="str">
        <f aca="false">IFERROR(INDEX(Colaboradores!$E:$E,MATCH(B153,Colaboradores!$A:$A,0)),"")</f>
        <v>KAUA WENDEL MENGALI DOMINGOS</v>
      </c>
      <c r="D153" s="7" t="s">
        <v>583</v>
      </c>
      <c r="E153" s="16" t="str">
        <f aca="false">IFERROR(INDEX(Doc_Catalogo!$B:$B,MATCH(D153,Doc_Catalogo!$A:$A,0)),"")</f>
        <v>CTPS Digital</v>
      </c>
      <c r="F153" s="7"/>
      <c r="G153" s="13"/>
      <c r="H153" s="16" t="str">
        <f aca="true">IF(G153="","N/A",IF(G153&lt;TODAY(),"VENCIDO",IF(G153&lt;=TODAY()+30,"VENCENDO","VALIDO")))</f>
        <v>N/A</v>
      </c>
      <c r="I153" s="7"/>
      <c r="J153" s="7" t="s">
        <v>686</v>
      </c>
    </row>
    <row r="154" customFormat="false" ht="15" hidden="false" customHeight="false" outlineLevel="0" collapsed="false">
      <c r="A154" s="7" t="s">
        <v>839</v>
      </c>
      <c r="B154" s="7" t="s">
        <v>261</v>
      </c>
      <c r="C154" s="16" t="str">
        <f aca="false">IFERROR(INDEX(Colaboradores!$E:$E,MATCH(B154,Colaboradores!$A:$A,0)),"")</f>
        <v>KAUA WENDEL MENGALI DOMINGOS</v>
      </c>
      <c r="D154" s="7" t="s">
        <v>586</v>
      </c>
      <c r="E154" s="16" t="str">
        <f aca="false">IFERROR(INDEX(Doc_Catalogo!$B:$B,MATCH(D154,Doc_Catalogo!$A:$A,0)),"")</f>
        <v>Ordem de Servico</v>
      </c>
      <c r="F154" s="7"/>
      <c r="G154" s="13"/>
      <c r="H154" s="16" t="str">
        <f aca="true">IF(G154="","N/A",IF(G154&lt;TODAY(),"VENCIDO",IF(G154&lt;=TODAY()+30,"VENCENDO","VALIDO")))</f>
        <v>N/A</v>
      </c>
      <c r="I154" s="7"/>
      <c r="J154" s="7" t="s">
        <v>686</v>
      </c>
    </row>
    <row r="155" customFormat="false" ht="15" hidden="false" customHeight="false" outlineLevel="0" collapsed="false">
      <c r="A155" s="7" t="s">
        <v>840</v>
      </c>
      <c r="B155" s="7" t="s">
        <v>261</v>
      </c>
      <c r="C155" s="16" t="str">
        <f aca="false">IFERROR(INDEX(Colaboradores!$E:$E,MATCH(B155,Colaboradores!$A:$A,0)),"")</f>
        <v>KAUA WENDEL MENGALI DOMINGOS</v>
      </c>
      <c r="D155" s="7" t="s">
        <v>588</v>
      </c>
      <c r="E155" s="16" t="str">
        <f aca="false">IFERROR(INDEX(Doc_Catalogo!$B:$B,MATCH(D155,Doc_Catalogo!$A:$A,0)),"")</f>
        <v>Ficha de EPI Atualizada</v>
      </c>
      <c r="F155" s="7"/>
      <c r="G155" s="13"/>
      <c r="H155" s="16" t="str">
        <f aca="true">IF(G155="","N/A",IF(G155&lt;TODAY(),"VENCIDO",IF(G155&lt;=TODAY()+30,"VENCENDO","VALIDO")))</f>
        <v>N/A</v>
      </c>
      <c r="I155" s="7"/>
      <c r="J155" s="7" t="s">
        <v>686</v>
      </c>
    </row>
    <row r="156" customFormat="false" ht="15" hidden="false" customHeight="false" outlineLevel="0" collapsed="false">
      <c r="A156" s="7" t="s">
        <v>841</v>
      </c>
      <c r="B156" s="7" t="s">
        <v>261</v>
      </c>
      <c r="C156" s="16" t="str">
        <f aca="false">IFERROR(INDEX(Colaboradores!$E:$E,MATCH(B156,Colaboradores!$A:$A,0)),"")</f>
        <v>KAUA WENDEL MENGALI DOMINGOS</v>
      </c>
      <c r="D156" s="7" t="s">
        <v>591</v>
      </c>
      <c r="E156" s="16" t="str">
        <f aca="false">IFERROR(INDEX(Doc_Catalogo!$B:$B,MATCH(D156,Doc_Catalogo!$A:$A,0)),"")</f>
        <v>Cartao de vacina (Tetano, Hepatite B e Febre amarela)</v>
      </c>
      <c r="F156" s="7"/>
      <c r="G156" s="13"/>
      <c r="H156" s="16" t="str">
        <f aca="true">IF(G156="","N/A",IF(G156&lt;TODAY(),"VENCIDO",IF(G156&lt;=TODAY()+30,"VENCENDO","VALIDO")))</f>
        <v>N/A</v>
      </c>
      <c r="I156" s="7"/>
      <c r="J156" s="7" t="s">
        <v>686</v>
      </c>
    </row>
    <row r="157" customFormat="false" ht="15" hidden="false" customHeight="false" outlineLevel="0" collapsed="false">
      <c r="A157" s="7" t="s">
        <v>842</v>
      </c>
      <c r="B157" s="7" t="s">
        <v>267</v>
      </c>
      <c r="C157" s="16" t="str">
        <f aca="false">IFERROR(INDEX(Colaboradores!$E:$E,MATCH(B157,Colaboradores!$A:$A,0)),"")</f>
        <v>LUIS FERNANDO BUENO DE CAMARGO</v>
      </c>
      <c r="D157" s="7" t="s">
        <v>498</v>
      </c>
      <c r="E157" s="16" t="str">
        <f aca="false">IFERROR(INDEX(Doc_Catalogo!$B:$B,MATCH(D157,Doc_Catalogo!$A:$A,0)),"")</f>
        <v>CNH</v>
      </c>
      <c r="F157" s="7"/>
      <c r="G157" s="13"/>
      <c r="H157" s="16" t="str">
        <f aca="true">IF(G157="","N/A",IF(G157&lt;TODAY(),"VENCIDO",IF(G157&lt;=TODAY()+30,"VENCENDO","VALIDO")))</f>
        <v>N/A</v>
      </c>
      <c r="I157" s="7"/>
      <c r="J157" s="7" t="s">
        <v>686</v>
      </c>
    </row>
    <row r="158" customFormat="false" ht="15" hidden="false" customHeight="false" outlineLevel="0" collapsed="false">
      <c r="A158" s="6" t="s">
        <v>843</v>
      </c>
      <c r="B158" s="6" t="s">
        <v>267</v>
      </c>
      <c r="C158" s="12" t="str">
        <f aca="false">IFERROR(INDEX(Colaboradores!$E:$E,MATCH(B158,Colaboradores!$A:$A,0)),"")</f>
        <v>LUIS FERNANDO BUENO DE CAMARGO</v>
      </c>
      <c r="D158" s="6" t="s">
        <v>501</v>
      </c>
      <c r="E158" s="12" t="str">
        <f aca="false">IFERROR(INDEX(Doc_Catalogo!$B:$B,MATCH(D158,Doc_Catalogo!$A:$A,0)),"")</f>
        <v>ASO</v>
      </c>
      <c r="F158" s="6"/>
      <c r="G158" s="17" t="n">
        <v>45322</v>
      </c>
      <c r="H158" s="12" t="str">
        <f aca="true">IF(G158="","N/A",IF(G158&lt;TODAY(),"VENCIDO",IF(G158&lt;=TODAY()+30,"VENCENDO","VALIDO")))</f>
        <v>VENCIDO</v>
      </c>
      <c r="I158" s="6"/>
      <c r="J158" s="6"/>
    </row>
    <row r="159" customFormat="false" ht="15" hidden="false" customHeight="false" outlineLevel="0" collapsed="false">
      <c r="A159" s="6" t="s">
        <v>844</v>
      </c>
      <c r="B159" s="6" t="s">
        <v>267</v>
      </c>
      <c r="C159" s="12" t="str">
        <f aca="false">IFERROR(INDEX(Colaboradores!$E:$E,MATCH(B159,Colaboradores!$A:$A,0)),"")</f>
        <v>LUIS FERNANDO BUENO DE CAMARGO</v>
      </c>
      <c r="D159" s="6" t="s">
        <v>513</v>
      </c>
      <c r="E159" s="12" t="str">
        <f aca="false">IFERROR(INDEX(Doc_Catalogo!$B:$B,MATCH(D159,Doc_Catalogo!$A:$A,0)),"")</f>
        <v>Certificado da NR01 — Colaborador</v>
      </c>
      <c r="F159" s="6"/>
      <c r="G159" s="17" t="n">
        <v>46321</v>
      </c>
      <c r="H159" s="12" t="str">
        <f aca="true">IF(G159="","N/A",IF(G159&lt;TODAY(),"VENCIDO",IF(G159&lt;=TODAY()+30,"VENCENDO","VALIDO")))</f>
        <v>VALIDO</v>
      </c>
      <c r="I159" s="6"/>
      <c r="J159" s="6"/>
    </row>
    <row r="160" customFormat="false" ht="15" hidden="false" customHeight="false" outlineLevel="0" collapsed="false">
      <c r="A160" s="6" t="s">
        <v>845</v>
      </c>
      <c r="B160" s="6" t="s">
        <v>267</v>
      </c>
      <c r="C160" s="12" t="str">
        <f aca="false">IFERROR(INDEX(Colaboradores!$E:$E,MATCH(B160,Colaboradores!$A:$A,0)),"")</f>
        <v>LUIS FERNANDO BUENO DE CAMARGO</v>
      </c>
      <c r="D160" s="6" t="s">
        <v>519</v>
      </c>
      <c r="E160" s="12" t="str">
        <f aca="false">IFERROR(INDEX(Doc_Catalogo!$B:$B,MATCH(D160,Doc_Catalogo!$A:$A,0)),"")</f>
        <v>Certificado da NR06 — Colaborador</v>
      </c>
      <c r="F160" s="6"/>
      <c r="G160" s="17" t="n">
        <v>45946</v>
      </c>
      <c r="H160" s="12" t="str">
        <f aca="true">IF(G160="","N/A",IF(G160&lt;TODAY(),"VENCIDO",IF(G160&lt;=TODAY()+30,"VENCENDO","VALIDO")))</f>
        <v>VENCIDO</v>
      </c>
      <c r="I160" s="6"/>
      <c r="J160" s="6"/>
    </row>
    <row r="161" customFormat="false" ht="15" hidden="false" customHeight="false" outlineLevel="0" collapsed="false">
      <c r="A161" s="6" t="s">
        <v>846</v>
      </c>
      <c r="B161" s="6" t="s">
        <v>267</v>
      </c>
      <c r="C161" s="12" t="str">
        <f aca="false">IFERROR(INDEX(Colaboradores!$E:$E,MATCH(B161,Colaboradores!$A:$A,0)),"")</f>
        <v>LUIS FERNANDO BUENO DE CAMARGO</v>
      </c>
      <c r="D161" s="6" t="s">
        <v>524</v>
      </c>
      <c r="E161" s="12" t="str">
        <f aca="false">IFERROR(INDEX(Doc_Catalogo!$B:$B,MATCH(D161,Doc_Catalogo!$A:$A,0)),"")</f>
        <v>Certificado da NR10 — Colaborador</v>
      </c>
      <c r="F161" s="6"/>
      <c r="G161" s="17" t="n">
        <v>46079</v>
      </c>
      <c r="H161" s="12" t="str">
        <f aca="true">IF(G161="","N/A",IF(G161&lt;TODAY(),"VENCIDO",IF(G161&lt;=TODAY()+30,"VENCENDO","VALIDO")))</f>
        <v>VENCIDO</v>
      </c>
      <c r="I161" s="6"/>
      <c r="J161" s="6"/>
    </row>
    <row r="162" customFormat="false" ht="15" hidden="false" customHeight="false" outlineLevel="0" collapsed="false">
      <c r="A162" s="6" t="s">
        <v>847</v>
      </c>
      <c r="B162" s="6" t="s">
        <v>267</v>
      </c>
      <c r="C162" s="12" t="str">
        <f aca="false">IFERROR(INDEX(Colaboradores!$E:$E,MATCH(B162,Colaboradores!$A:$A,0)),"")</f>
        <v>LUIS FERNANDO BUENO DE CAMARGO</v>
      </c>
      <c r="D162" s="6" t="s">
        <v>537</v>
      </c>
      <c r="E162" s="12" t="str">
        <f aca="false">IFERROR(INDEX(Doc_Catalogo!$B:$B,MATCH(D162,Doc_Catalogo!$A:$A,0)),"")</f>
        <v>Certificado da NR12 — Colaborador</v>
      </c>
      <c r="F162" s="6"/>
      <c r="G162" s="17" t="n">
        <v>46169</v>
      </c>
      <c r="H162" s="12" t="str">
        <f aca="true">IF(G162="","N/A",IF(G162&lt;TODAY(),"VENCIDO",IF(G162&lt;=TODAY()+30,"VENCENDO","VALIDO")))</f>
        <v>VENCIDO</v>
      </c>
      <c r="I162" s="6"/>
      <c r="J162" s="6"/>
    </row>
    <row r="163" customFormat="false" ht="15" hidden="false" customHeight="false" outlineLevel="0" collapsed="false">
      <c r="A163" s="6" t="s">
        <v>848</v>
      </c>
      <c r="B163" s="6" t="s">
        <v>267</v>
      </c>
      <c r="C163" s="12" t="str">
        <f aca="false">IFERROR(INDEX(Colaboradores!$E:$E,MATCH(B163,Colaboradores!$A:$A,0)),"")</f>
        <v>LUIS FERNANDO BUENO DE CAMARGO</v>
      </c>
      <c r="D163" s="6" t="s">
        <v>549</v>
      </c>
      <c r="E163" s="12" t="str">
        <f aca="false">IFERROR(INDEX(Doc_Catalogo!$B:$B,MATCH(D163,Doc_Catalogo!$A:$A,0)),"")</f>
        <v>Certificado da NR18 — Colaborador</v>
      </c>
      <c r="F163" s="6"/>
      <c r="G163" s="17" t="n">
        <v>46789</v>
      </c>
      <c r="H163" s="12" t="str">
        <f aca="true">IF(G163="","N/A",IF(G163&lt;TODAY(),"VENCIDO",IF(G163&lt;=TODAY()+30,"VENCENDO","VALIDO")))</f>
        <v>VALIDO</v>
      </c>
      <c r="I163" s="6"/>
      <c r="J163" s="6"/>
    </row>
    <row r="164" customFormat="false" ht="15" hidden="false" customHeight="false" outlineLevel="0" collapsed="false">
      <c r="A164" s="6" t="s">
        <v>849</v>
      </c>
      <c r="B164" s="6" t="s">
        <v>267</v>
      </c>
      <c r="C164" s="12" t="str">
        <f aca="false">IFERROR(INDEX(Colaboradores!$E:$E,MATCH(B164,Colaboradores!$A:$A,0)),"")</f>
        <v>LUIS FERNANDO BUENO DE CAMARGO</v>
      </c>
      <c r="D164" s="6" t="s">
        <v>565</v>
      </c>
      <c r="E164" s="12" t="str">
        <f aca="false">IFERROR(INDEX(Doc_Catalogo!$B:$B,MATCH(D164,Doc_Catalogo!$A:$A,0)),"")</f>
        <v>Certificado da NR35 — Colaborador</v>
      </c>
      <c r="F164" s="6"/>
      <c r="G164" s="17" t="n">
        <v>46167</v>
      </c>
      <c r="H164" s="12" t="str">
        <f aca="true">IF(G164="","N/A",IF(G164&lt;TODAY(),"VENCIDO",IF(G164&lt;=TODAY()+30,"VENCENDO","VALIDO")))</f>
        <v>VENCIDO</v>
      </c>
      <c r="I164" s="6"/>
      <c r="J164" s="6"/>
    </row>
    <row r="165" customFormat="false" ht="15" hidden="false" customHeight="false" outlineLevel="0" collapsed="false">
      <c r="A165" s="7" t="s">
        <v>850</v>
      </c>
      <c r="B165" s="7" t="s">
        <v>333</v>
      </c>
      <c r="C165" s="16" t="str">
        <f aca="false">IFERROR(INDEX(Colaboradores!$E:$E,MATCH(B165,Colaboradores!$A:$A,0)),"")</f>
        <v>MARCIO MARTINS</v>
      </c>
      <c r="D165" s="7" t="s">
        <v>496</v>
      </c>
      <c r="E165" s="16" t="str">
        <f aca="false">IFERROR(INDEX(Doc_Catalogo!$B:$B,MATCH(D165,Doc_Catalogo!$A:$A,0)),"")</f>
        <v>CPF</v>
      </c>
      <c r="F165" s="7"/>
      <c r="G165" s="13"/>
      <c r="H165" s="16" t="str">
        <f aca="true">IF(G165="","N/A",IF(G165&lt;TODAY(),"VENCIDO",IF(G165&lt;=TODAY()+30,"VENCENDO","VALIDO")))</f>
        <v>N/A</v>
      </c>
      <c r="I165" s="7"/>
      <c r="J165" s="7" t="s">
        <v>686</v>
      </c>
    </row>
    <row r="166" customFormat="false" ht="15" hidden="false" customHeight="false" outlineLevel="0" collapsed="false">
      <c r="A166" s="6" t="s">
        <v>851</v>
      </c>
      <c r="B166" s="6" t="s">
        <v>333</v>
      </c>
      <c r="C166" s="12" t="str">
        <f aca="false">IFERROR(INDEX(Colaboradores!$E:$E,MATCH(B166,Colaboradores!$A:$A,0)),"")</f>
        <v>MARCIO MARTINS</v>
      </c>
      <c r="D166" s="6" t="s">
        <v>533</v>
      </c>
      <c r="E166" s="12" t="str">
        <f aca="false">IFERROR(INDEX(Doc_Catalogo!$B:$B,MATCH(D166,Doc_Catalogo!$A:$A,0)),"")</f>
        <v>Certificado da NR11 — Colaborador</v>
      </c>
      <c r="F166" s="6"/>
      <c r="G166" s="17" t="n">
        <v>46121</v>
      </c>
      <c r="H166" s="12" t="str">
        <f aca="true">IF(G166="","N/A",IF(G166&lt;TODAY(),"VENCIDO",IF(G166&lt;=TODAY()+30,"VENCENDO","VALIDO")))</f>
        <v>VENCIDO</v>
      </c>
      <c r="I166" s="6"/>
      <c r="J166" s="6"/>
    </row>
    <row r="167" customFormat="false" ht="15" hidden="false" customHeight="false" outlineLevel="0" collapsed="false">
      <c r="A167" s="6" t="s">
        <v>852</v>
      </c>
      <c r="B167" s="6" t="s">
        <v>333</v>
      </c>
      <c r="C167" s="12" t="str">
        <f aca="false">IFERROR(INDEX(Colaboradores!$E:$E,MATCH(B167,Colaboradores!$A:$A,0)),"")</f>
        <v>MARCIO MARTINS</v>
      </c>
      <c r="D167" s="6" t="s">
        <v>537</v>
      </c>
      <c r="E167" s="12" t="str">
        <f aca="false">IFERROR(INDEX(Doc_Catalogo!$B:$B,MATCH(D167,Doc_Catalogo!$A:$A,0)),"")</f>
        <v>Certificado da NR12 — Colaborador</v>
      </c>
      <c r="F167" s="6"/>
      <c r="G167" s="17" t="n">
        <v>46121</v>
      </c>
      <c r="H167" s="12" t="str">
        <f aca="true">IF(G167="","N/A",IF(G167&lt;TODAY(),"VENCIDO",IF(G167&lt;=TODAY()+30,"VENCENDO","VALIDO")))</f>
        <v>VENCIDO</v>
      </c>
      <c r="I167" s="6"/>
      <c r="J167" s="6"/>
    </row>
    <row r="168" customFormat="false" ht="15" hidden="false" customHeight="false" outlineLevel="0" collapsed="false">
      <c r="A168" s="7" t="s">
        <v>853</v>
      </c>
      <c r="B168" s="7" t="s">
        <v>336</v>
      </c>
      <c r="C168" s="16" t="str">
        <f aca="false">IFERROR(INDEX(Colaboradores!$E:$E,MATCH(B168,Colaboradores!$A:$A,0)),"")</f>
        <v>EDINALDO DOS SANTOS</v>
      </c>
      <c r="D168" s="7" t="s">
        <v>577</v>
      </c>
      <c r="E168" s="16" t="str">
        <f aca="false">IFERROR(INDEX(Doc_Catalogo!$B:$B,MATCH(D168,Doc_Catalogo!$A:$A,0)),"")</f>
        <v>Contrato de Trabalho</v>
      </c>
      <c r="F168" s="7"/>
      <c r="G168" s="13"/>
      <c r="H168" s="16" t="str">
        <f aca="true">IF(G168="","N/A",IF(G168&lt;TODAY(),"VENCIDO",IF(G168&lt;=TODAY()+30,"VENCENDO","VALIDO")))</f>
        <v>N/A</v>
      </c>
      <c r="I168" s="7"/>
      <c r="J168" s="7" t="s">
        <v>686</v>
      </c>
    </row>
    <row r="169" customFormat="false" ht="15" hidden="false" customHeight="false" outlineLevel="0" collapsed="false">
      <c r="A169" s="6" t="s">
        <v>854</v>
      </c>
      <c r="B169" s="6" t="s">
        <v>271</v>
      </c>
      <c r="C169" s="12" t="str">
        <f aca="false">IFERROR(INDEX(Colaboradores!$E:$E,MATCH(B169,Colaboradores!$A:$A,0)),"")</f>
        <v>ANDERSON DA SILVA</v>
      </c>
      <c r="D169" s="6" t="s">
        <v>491</v>
      </c>
      <c r="E169" s="12" t="str">
        <f aca="false">IFERROR(INDEX(Doc_Catalogo!$B:$B,MATCH(D169,Doc_Catalogo!$A:$A,0)),"")</f>
        <v>RG</v>
      </c>
      <c r="F169" s="6"/>
      <c r="G169" s="17" t="n">
        <v>49407</v>
      </c>
      <c r="H169" s="12" t="str">
        <f aca="true">IF(G169="","N/A",IF(G169&lt;TODAY(),"VENCIDO",IF(G169&lt;=TODAY()+30,"VENCENDO","VALIDO")))</f>
        <v>VALIDO</v>
      </c>
      <c r="I169" s="6"/>
      <c r="J169" s="6"/>
    </row>
    <row r="170" customFormat="false" ht="15" hidden="false" customHeight="false" outlineLevel="0" collapsed="false">
      <c r="A170" s="7" t="s">
        <v>855</v>
      </c>
      <c r="B170" s="7" t="s">
        <v>271</v>
      </c>
      <c r="C170" s="16" t="str">
        <f aca="false">IFERROR(INDEX(Colaboradores!$E:$E,MATCH(B170,Colaboradores!$A:$A,0)),"")</f>
        <v>ANDERSON DA SILVA</v>
      </c>
      <c r="D170" s="7" t="s">
        <v>496</v>
      </c>
      <c r="E170" s="16" t="str">
        <f aca="false">IFERROR(INDEX(Doc_Catalogo!$B:$B,MATCH(D170,Doc_Catalogo!$A:$A,0)),"")</f>
        <v>CPF</v>
      </c>
      <c r="F170" s="7"/>
      <c r="G170" s="13"/>
      <c r="H170" s="16" t="str">
        <f aca="true">IF(G170="","N/A",IF(G170&lt;TODAY(),"VENCIDO",IF(G170&lt;=TODAY()+30,"VENCENDO","VALIDO")))</f>
        <v>N/A</v>
      </c>
      <c r="I170" s="7"/>
      <c r="J170" s="7" t="s">
        <v>686</v>
      </c>
    </row>
    <row r="171" customFormat="false" ht="15" hidden="false" customHeight="false" outlineLevel="0" collapsed="false">
      <c r="A171" s="6" t="s">
        <v>856</v>
      </c>
      <c r="B171" s="6" t="s">
        <v>271</v>
      </c>
      <c r="C171" s="12" t="str">
        <f aca="false">IFERROR(INDEX(Colaboradores!$E:$E,MATCH(B171,Colaboradores!$A:$A,0)),"")</f>
        <v>ANDERSON DA SILVA</v>
      </c>
      <c r="D171" s="6" t="s">
        <v>498</v>
      </c>
      <c r="E171" s="12" t="str">
        <f aca="false">IFERROR(INDEX(Doc_Catalogo!$B:$B,MATCH(D171,Doc_Catalogo!$A:$A,0)),"")</f>
        <v>CNH</v>
      </c>
      <c r="F171" s="6"/>
      <c r="G171" s="17" t="n">
        <v>49111</v>
      </c>
      <c r="H171" s="12" t="str">
        <f aca="true">IF(G171="","N/A",IF(G171&lt;TODAY(),"VENCIDO",IF(G171&lt;=TODAY()+30,"VENCENDO","VALIDO")))</f>
        <v>VALIDO</v>
      </c>
      <c r="I171" s="6"/>
      <c r="J171" s="6"/>
    </row>
    <row r="172" customFormat="false" ht="15" hidden="false" customHeight="false" outlineLevel="0" collapsed="false">
      <c r="A172" s="6" t="s">
        <v>857</v>
      </c>
      <c r="B172" s="6" t="s">
        <v>271</v>
      </c>
      <c r="C172" s="12" t="str">
        <f aca="false">IFERROR(INDEX(Colaboradores!$E:$E,MATCH(B172,Colaboradores!$A:$A,0)),"")</f>
        <v>ANDERSON DA SILVA</v>
      </c>
      <c r="D172" s="6" t="s">
        <v>501</v>
      </c>
      <c r="E172" s="12" t="str">
        <f aca="false">IFERROR(INDEX(Doc_Catalogo!$B:$B,MATCH(D172,Doc_Catalogo!$A:$A,0)),"")</f>
        <v>ASO</v>
      </c>
      <c r="F172" s="6"/>
      <c r="G172" s="17" t="n">
        <v>46521</v>
      </c>
      <c r="H172" s="12" t="str">
        <f aca="true">IF(G172="","N/A",IF(G172&lt;TODAY(),"VENCIDO",IF(G172&lt;=TODAY()+30,"VENCENDO","VALIDO")))</f>
        <v>VALIDO</v>
      </c>
      <c r="I172" s="6"/>
      <c r="J172" s="6"/>
    </row>
    <row r="173" customFormat="false" ht="15" hidden="false" customHeight="false" outlineLevel="0" collapsed="false">
      <c r="A173" s="6" t="s">
        <v>858</v>
      </c>
      <c r="B173" s="6" t="s">
        <v>271</v>
      </c>
      <c r="C173" s="12" t="str">
        <f aca="false">IFERROR(INDEX(Colaboradores!$E:$E,MATCH(B173,Colaboradores!$A:$A,0)),"")</f>
        <v>ANDERSON DA SILVA</v>
      </c>
      <c r="D173" s="6" t="s">
        <v>537</v>
      </c>
      <c r="E173" s="12" t="str">
        <f aca="false">IFERROR(INDEX(Doc_Catalogo!$B:$B,MATCH(D173,Doc_Catalogo!$A:$A,0)),"")</f>
        <v>Certificado da NR12 — Colaborador</v>
      </c>
      <c r="F173" s="6"/>
      <c r="G173" s="17" t="n">
        <v>46878</v>
      </c>
      <c r="H173" s="12" t="str">
        <f aca="true">IF(G173="","N/A",IF(G173&lt;TODAY(),"VENCIDO",IF(G173&lt;=TODAY()+30,"VENCENDO","VALIDO")))</f>
        <v>VALIDO</v>
      </c>
      <c r="I173" s="6"/>
      <c r="J173" s="6"/>
    </row>
    <row r="174" customFormat="false" ht="15" hidden="false" customHeight="false" outlineLevel="0" collapsed="false">
      <c r="A174" s="6" t="s">
        <v>859</v>
      </c>
      <c r="B174" s="6" t="s">
        <v>271</v>
      </c>
      <c r="C174" s="12" t="str">
        <f aca="false">IFERROR(INDEX(Colaboradores!$E:$E,MATCH(B174,Colaboradores!$A:$A,0)),"")</f>
        <v>ANDERSON DA SILVA</v>
      </c>
      <c r="D174" s="6" t="s">
        <v>549</v>
      </c>
      <c r="E174" s="12" t="str">
        <f aca="false">IFERROR(INDEX(Doc_Catalogo!$B:$B,MATCH(D174,Doc_Catalogo!$A:$A,0)),"")</f>
        <v>Certificado da NR18 — Colaborador</v>
      </c>
      <c r="F174" s="6"/>
      <c r="G174" s="17" t="n">
        <v>46878</v>
      </c>
      <c r="H174" s="12" t="str">
        <f aca="true">IF(G174="","N/A",IF(G174&lt;TODAY(),"VENCIDO",IF(G174&lt;=TODAY()+30,"VENCENDO","VALIDO")))</f>
        <v>VALIDO</v>
      </c>
      <c r="I174" s="6"/>
      <c r="J174" s="6"/>
    </row>
    <row r="175" customFormat="false" ht="15" hidden="false" customHeight="false" outlineLevel="0" collapsed="false">
      <c r="A175" s="6" t="s">
        <v>860</v>
      </c>
      <c r="B175" s="6" t="s">
        <v>271</v>
      </c>
      <c r="C175" s="12" t="str">
        <f aca="false">IFERROR(INDEX(Colaboradores!$E:$E,MATCH(B175,Colaboradores!$A:$A,0)),"")</f>
        <v>ANDERSON DA SILVA</v>
      </c>
      <c r="D175" s="6" t="s">
        <v>553</v>
      </c>
      <c r="E175" s="12" t="str">
        <f aca="false">IFERROR(INDEX(Doc_Catalogo!$B:$B,MATCH(D175,Doc_Catalogo!$A:$A,0)),"")</f>
        <v>Certificado da NR33 — Colaborador</v>
      </c>
      <c r="F175" s="6"/>
      <c r="G175" s="17" t="n">
        <v>46514</v>
      </c>
      <c r="H175" s="12" t="str">
        <f aca="true">IF(G175="","N/A",IF(G175&lt;TODAY(),"VENCIDO",IF(G175&lt;=TODAY()+30,"VENCENDO","VALIDO")))</f>
        <v>VALIDO</v>
      </c>
      <c r="I175" s="6"/>
      <c r="J175" s="6"/>
    </row>
    <row r="176" customFormat="false" ht="15" hidden="false" customHeight="false" outlineLevel="0" collapsed="false">
      <c r="A176" s="6" t="s">
        <v>861</v>
      </c>
      <c r="B176" s="6" t="s">
        <v>271</v>
      </c>
      <c r="C176" s="12" t="str">
        <f aca="false">IFERROR(INDEX(Colaboradores!$E:$E,MATCH(B176,Colaboradores!$A:$A,0)),"")</f>
        <v>ANDERSON DA SILVA</v>
      </c>
      <c r="D176" s="6" t="s">
        <v>565</v>
      </c>
      <c r="E176" s="12" t="str">
        <f aca="false">IFERROR(INDEX(Doc_Catalogo!$B:$B,MATCH(D176,Doc_Catalogo!$A:$A,0)),"")</f>
        <v>Certificado da NR35 — Colaborador</v>
      </c>
      <c r="F176" s="6"/>
      <c r="G176" s="17" t="n">
        <v>46881</v>
      </c>
      <c r="H176" s="12" t="str">
        <f aca="true">IF(G176="","N/A",IF(G176&lt;TODAY(),"VENCIDO",IF(G176&lt;=TODAY()+30,"VENCENDO","VALIDO")))</f>
        <v>VALIDO</v>
      </c>
      <c r="I176" s="6"/>
      <c r="J176" s="6"/>
    </row>
    <row r="177" customFormat="false" ht="15" hidden="false" customHeight="false" outlineLevel="0" collapsed="false">
      <c r="A177" s="7" t="s">
        <v>862</v>
      </c>
      <c r="B177" s="7" t="s">
        <v>271</v>
      </c>
      <c r="C177" s="16" t="str">
        <f aca="false">IFERROR(INDEX(Colaboradores!$E:$E,MATCH(B177,Colaboradores!$A:$A,0)),"")</f>
        <v>ANDERSON DA SILVA</v>
      </c>
      <c r="D177" s="7" t="s">
        <v>577</v>
      </c>
      <c r="E177" s="16" t="str">
        <f aca="false">IFERROR(INDEX(Doc_Catalogo!$B:$B,MATCH(D177,Doc_Catalogo!$A:$A,0)),"")</f>
        <v>Contrato de Trabalho</v>
      </c>
      <c r="F177" s="7"/>
      <c r="G177" s="13"/>
      <c r="H177" s="16" t="str">
        <f aca="true">IF(G177="","N/A",IF(G177&lt;TODAY(),"VENCIDO",IF(G177&lt;=TODAY()+30,"VENCENDO","VALIDO")))</f>
        <v>N/A</v>
      </c>
      <c r="I177" s="7"/>
      <c r="J177" s="7" t="s">
        <v>686</v>
      </c>
    </row>
    <row r="178" customFormat="false" ht="15" hidden="false" customHeight="false" outlineLevel="0" collapsed="false">
      <c r="A178" s="7" t="s">
        <v>863</v>
      </c>
      <c r="B178" s="7" t="s">
        <v>271</v>
      </c>
      <c r="C178" s="16" t="str">
        <f aca="false">IFERROR(INDEX(Colaboradores!$E:$E,MATCH(B178,Colaboradores!$A:$A,0)),"")</f>
        <v>ANDERSON DA SILVA</v>
      </c>
      <c r="D178" s="7" t="s">
        <v>588</v>
      </c>
      <c r="E178" s="16" t="str">
        <f aca="false">IFERROR(INDEX(Doc_Catalogo!$B:$B,MATCH(D178,Doc_Catalogo!$A:$A,0)),"")</f>
        <v>Ficha de EPI Atualizada</v>
      </c>
      <c r="F178" s="7"/>
      <c r="G178" s="13"/>
      <c r="H178" s="16" t="str">
        <f aca="true">IF(G178="","N/A",IF(G178&lt;TODAY(),"VENCIDO",IF(G178&lt;=TODAY()+30,"VENCENDO","VALIDO")))</f>
        <v>N/A</v>
      </c>
      <c r="I178" s="7"/>
      <c r="J178" s="7" t="s">
        <v>686</v>
      </c>
    </row>
    <row r="179" customFormat="false" ht="15" hidden="false" customHeight="false" outlineLevel="0" collapsed="false">
      <c r="A179" s="6" t="s">
        <v>864</v>
      </c>
      <c r="B179" s="6" t="s">
        <v>276</v>
      </c>
      <c r="C179" s="12" t="str">
        <f aca="false">IFERROR(INDEX(Colaboradores!$E:$E,MATCH(B179,Colaboradores!$A:$A,0)),"")</f>
        <v>WALISON TANDI AZEVEDO DE OLIVEIRA MELO</v>
      </c>
      <c r="D179" s="6" t="s">
        <v>498</v>
      </c>
      <c r="E179" s="12" t="str">
        <f aca="false">IFERROR(INDEX(Doc_Catalogo!$B:$B,MATCH(D179,Doc_Catalogo!$A:$A,0)),"")</f>
        <v>CNH</v>
      </c>
      <c r="F179" s="6"/>
      <c r="G179" s="17" t="n">
        <v>49144</v>
      </c>
      <c r="H179" s="12" t="str">
        <f aca="true">IF(G179="","N/A",IF(G179&lt;TODAY(),"VENCIDO",IF(G179&lt;=TODAY()+30,"VENCENDO","VALIDO")))</f>
        <v>VALIDO</v>
      </c>
      <c r="I179" s="6"/>
      <c r="J179" s="6"/>
    </row>
    <row r="180" customFormat="false" ht="15" hidden="false" customHeight="false" outlineLevel="0" collapsed="false">
      <c r="A180" s="6" t="s">
        <v>865</v>
      </c>
      <c r="B180" s="6" t="s">
        <v>276</v>
      </c>
      <c r="C180" s="12" t="str">
        <f aca="false">IFERROR(INDEX(Colaboradores!$E:$E,MATCH(B180,Colaboradores!$A:$A,0)),"")</f>
        <v>WALISON TANDI AZEVEDO DE OLIVEIRA MELO</v>
      </c>
      <c r="D180" s="6" t="s">
        <v>501</v>
      </c>
      <c r="E180" s="12" t="str">
        <f aca="false">IFERROR(INDEX(Doc_Catalogo!$B:$B,MATCH(D180,Doc_Catalogo!$A:$A,0)),"")</f>
        <v>ASO</v>
      </c>
      <c r="F180" s="6"/>
      <c r="G180" s="17" t="n">
        <v>46529</v>
      </c>
      <c r="H180" s="12" t="str">
        <f aca="true">IF(G180="","N/A",IF(G180&lt;TODAY(),"VENCIDO",IF(G180&lt;=TODAY()+30,"VENCENDO","VALIDO")))</f>
        <v>VALIDO</v>
      </c>
      <c r="I180" s="6"/>
      <c r="J180" s="6"/>
    </row>
    <row r="181" customFormat="false" ht="15" hidden="false" customHeight="false" outlineLevel="0" collapsed="false">
      <c r="A181" s="6" t="s">
        <v>866</v>
      </c>
      <c r="B181" s="6" t="s">
        <v>276</v>
      </c>
      <c r="C181" s="12" t="str">
        <f aca="false">IFERROR(INDEX(Colaboradores!$E:$E,MATCH(B181,Colaboradores!$A:$A,0)),"")</f>
        <v>WALISON TANDI AZEVEDO DE OLIVEIRA MELO</v>
      </c>
      <c r="D181" s="6" t="s">
        <v>519</v>
      </c>
      <c r="E181" s="12" t="str">
        <f aca="false">IFERROR(INDEX(Doc_Catalogo!$B:$B,MATCH(D181,Doc_Catalogo!$A:$A,0)),"")</f>
        <v>Certificado da NR06 — Colaborador</v>
      </c>
      <c r="F181" s="6"/>
      <c r="G181" s="17" t="n">
        <v>46519</v>
      </c>
      <c r="H181" s="12" t="str">
        <f aca="true">IF(G181="","N/A",IF(G181&lt;TODAY(),"VENCIDO",IF(G181&lt;=TODAY()+30,"VENCENDO","VALIDO")))</f>
        <v>VALIDO</v>
      </c>
      <c r="I181" s="6"/>
      <c r="J181" s="6"/>
    </row>
    <row r="182" customFormat="false" ht="15" hidden="false" customHeight="false" outlineLevel="0" collapsed="false">
      <c r="A182" s="6" t="s">
        <v>867</v>
      </c>
      <c r="B182" s="6" t="s">
        <v>276</v>
      </c>
      <c r="C182" s="12" t="str">
        <f aca="false">IFERROR(INDEX(Colaboradores!$E:$E,MATCH(B182,Colaboradores!$A:$A,0)),"")</f>
        <v>WALISON TANDI AZEVEDO DE OLIVEIRA MELO</v>
      </c>
      <c r="D182" s="6" t="s">
        <v>524</v>
      </c>
      <c r="E182" s="12" t="str">
        <f aca="false">IFERROR(INDEX(Doc_Catalogo!$B:$B,MATCH(D182,Doc_Catalogo!$A:$A,0)),"")</f>
        <v>Certificado da NR10 — Colaborador</v>
      </c>
      <c r="F182" s="6"/>
      <c r="G182" s="17" t="n">
        <v>46881</v>
      </c>
      <c r="H182" s="12" t="str">
        <f aca="true">IF(G182="","N/A",IF(G182&lt;TODAY(),"VENCIDO",IF(G182&lt;=TODAY()+30,"VENCENDO","VALIDO")))</f>
        <v>VALIDO</v>
      </c>
      <c r="I182" s="6"/>
      <c r="J182" s="6"/>
    </row>
    <row r="183" customFormat="false" ht="15" hidden="false" customHeight="false" outlineLevel="0" collapsed="false">
      <c r="A183" s="6" t="s">
        <v>868</v>
      </c>
      <c r="B183" s="6" t="s">
        <v>276</v>
      </c>
      <c r="C183" s="12" t="str">
        <f aca="false">IFERROR(INDEX(Colaboradores!$E:$E,MATCH(B183,Colaboradores!$A:$A,0)),"")</f>
        <v>WALISON TANDI AZEVEDO DE OLIVEIRA MELO</v>
      </c>
      <c r="D183" s="6" t="s">
        <v>533</v>
      </c>
      <c r="E183" s="12" t="str">
        <f aca="false">IFERROR(INDEX(Doc_Catalogo!$B:$B,MATCH(D183,Doc_Catalogo!$A:$A,0)),"")</f>
        <v>Certificado da NR11 — Colaborador</v>
      </c>
      <c r="F183" s="6"/>
      <c r="G183" s="17" t="n">
        <v>46525</v>
      </c>
      <c r="H183" s="12" t="str">
        <f aca="true">IF(G183="","N/A",IF(G183&lt;TODAY(),"VENCIDO",IF(G183&lt;=TODAY()+30,"VENCENDO","VALIDO")))</f>
        <v>VALIDO</v>
      </c>
      <c r="I183" s="6"/>
      <c r="J183" s="6"/>
    </row>
    <row r="184" customFormat="false" ht="15" hidden="false" customHeight="false" outlineLevel="0" collapsed="false">
      <c r="A184" s="6" t="s">
        <v>869</v>
      </c>
      <c r="B184" s="6" t="s">
        <v>276</v>
      </c>
      <c r="C184" s="12" t="str">
        <f aca="false">IFERROR(INDEX(Colaboradores!$E:$E,MATCH(B184,Colaboradores!$A:$A,0)),"")</f>
        <v>WALISON TANDI AZEVEDO DE OLIVEIRA MELO</v>
      </c>
      <c r="D184" s="6" t="s">
        <v>537</v>
      </c>
      <c r="E184" s="12" t="str">
        <f aca="false">IFERROR(INDEX(Doc_Catalogo!$B:$B,MATCH(D184,Doc_Catalogo!$A:$A,0)),"")</f>
        <v>Certificado da NR12 — Colaborador</v>
      </c>
      <c r="F184" s="6"/>
      <c r="G184" s="17" t="n">
        <v>46885</v>
      </c>
      <c r="H184" s="12" t="str">
        <f aca="true">IF(G184="","N/A",IF(G184&lt;TODAY(),"VENCIDO",IF(G184&lt;=TODAY()+30,"VENCENDO","VALIDO")))</f>
        <v>VALIDO</v>
      </c>
      <c r="I184" s="6"/>
      <c r="J184" s="6"/>
    </row>
    <row r="185" customFormat="false" ht="15" hidden="false" customHeight="false" outlineLevel="0" collapsed="false">
      <c r="A185" s="6" t="s">
        <v>870</v>
      </c>
      <c r="B185" s="6" t="s">
        <v>276</v>
      </c>
      <c r="C185" s="12" t="str">
        <f aca="false">IFERROR(INDEX(Colaboradores!$E:$E,MATCH(B185,Colaboradores!$A:$A,0)),"")</f>
        <v>WALISON TANDI AZEVEDO DE OLIVEIRA MELO</v>
      </c>
      <c r="D185" s="6" t="s">
        <v>549</v>
      </c>
      <c r="E185" s="12" t="str">
        <f aca="false">IFERROR(INDEX(Doc_Catalogo!$B:$B,MATCH(D185,Doc_Catalogo!$A:$A,0)),"")</f>
        <v>Certificado da NR18 — Colaborador</v>
      </c>
      <c r="F185" s="6"/>
      <c r="G185" s="17" t="n">
        <v>46885</v>
      </c>
      <c r="H185" s="12" t="str">
        <f aca="true">IF(G185="","N/A",IF(G185&lt;TODAY(),"VENCIDO",IF(G185&lt;=TODAY()+30,"VENCENDO","VALIDO")))</f>
        <v>VALIDO</v>
      </c>
      <c r="I185" s="6"/>
      <c r="J185" s="6"/>
    </row>
    <row r="186" customFormat="false" ht="15" hidden="false" customHeight="false" outlineLevel="0" collapsed="false">
      <c r="A186" s="6" t="s">
        <v>871</v>
      </c>
      <c r="B186" s="6" t="s">
        <v>276</v>
      </c>
      <c r="C186" s="12" t="str">
        <f aca="false">IFERROR(INDEX(Colaboradores!$E:$E,MATCH(B186,Colaboradores!$A:$A,0)),"")</f>
        <v>WALISON TANDI AZEVEDO DE OLIVEIRA MELO</v>
      </c>
      <c r="D186" s="6" t="s">
        <v>553</v>
      </c>
      <c r="E186" s="12" t="str">
        <f aca="false">IFERROR(INDEX(Doc_Catalogo!$B:$B,MATCH(D186,Doc_Catalogo!$A:$A,0)),"")</f>
        <v>Certificado da NR33 — Colaborador</v>
      </c>
      <c r="F186" s="6"/>
      <c r="G186" s="17" t="n">
        <v>46522</v>
      </c>
      <c r="H186" s="12" t="str">
        <f aca="true">IF(G186="","N/A",IF(G186&lt;TODAY(),"VENCIDO",IF(G186&lt;=TODAY()+30,"VENCENDO","VALIDO")))</f>
        <v>VALIDO</v>
      </c>
      <c r="I186" s="6"/>
      <c r="J186" s="6"/>
    </row>
    <row r="187" customFormat="false" ht="15" hidden="false" customHeight="false" outlineLevel="0" collapsed="false">
      <c r="A187" s="7" t="s">
        <v>872</v>
      </c>
      <c r="B187" s="7" t="s">
        <v>276</v>
      </c>
      <c r="C187" s="16" t="str">
        <f aca="false">IFERROR(INDEX(Colaboradores!$E:$E,MATCH(B187,Colaboradores!$A:$A,0)),"")</f>
        <v>WALISON TANDI AZEVEDO DE OLIVEIRA MELO</v>
      </c>
      <c r="D187" s="7" t="s">
        <v>577</v>
      </c>
      <c r="E187" s="16" t="str">
        <f aca="false">IFERROR(INDEX(Doc_Catalogo!$B:$B,MATCH(D187,Doc_Catalogo!$A:$A,0)),"")</f>
        <v>Contrato de Trabalho</v>
      </c>
      <c r="F187" s="7"/>
      <c r="G187" s="13"/>
      <c r="H187" s="16" t="str">
        <f aca="true">IF(G187="","N/A",IF(G187&lt;TODAY(),"VENCIDO",IF(G187&lt;=TODAY()+30,"VENCENDO","VALIDO")))</f>
        <v>N/A</v>
      </c>
      <c r="I187" s="7"/>
      <c r="J187" s="7" t="s">
        <v>686</v>
      </c>
    </row>
    <row r="188" customFormat="false" ht="15" hidden="false" customHeight="false" outlineLevel="0" collapsed="false">
      <c r="A188" s="7" t="s">
        <v>873</v>
      </c>
      <c r="B188" s="7" t="s">
        <v>276</v>
      </c>
      <c r="C188" s="16" t="str">
        <f aca="false">IFERROR(INDEX(Colaboradores!$E:$E,MATCH(B188,Colaboradores!$A:$A,0)),"")</f>
        <v>WALISON TANDI AZEVEDO DE OLIVEIRA MELO</v>
      </c>
      <c r="D188" s="7" t="s">
        <v>586</v>
      </c>
      <c r="E188" s="16" t="str">
        <f aca="false">IFERROR(INDEX(Doc_Catalogo!$B:$B,MATCH(D188,Doc_Catalogo!$A:$A,0)),"")</f>
        <v>Ordem de Servico</v>
      </c>
      <c r="F188" s="7"/>
      <c r="G188" s="13"/>
      <c r="H188" s="16" t="str">
        <f aca="true">IF(G188="","N/A",IF(G188&lt;TODAY(),"VENCIDO",IF(G188&lt;=TODAY()+30,"VENCENDO","VALIDO")))</f>
        <v>N/A</v>
      </c>
      <c r="I188" s="7"/>
      <c r="J188" s="7" t="s">
        <v>686</v>
      </c>
    </row>
    <row r="189" customFormat="false" ht="15" hidden="false" customHeight="false" outlineLevel="0" collapsed="false">
      <c r="A189" s="7" t="s">
        <v>874</v>
      </c>
      <c r="B189" s="7" t="s">
        <v>276</v>
      </c>
      <c r="C189" s="16" t="str">
        <f aca="false">IFERROR(INDEX(Colaboradores!$E:$E,MATCH(B189,Colaboradores!$A:$A,0)),"")</f>
        <v>WALISON TANDI AZEVEDO DE OLIVEIRA MELO</v>
      </c>
      <c r="D189" s="7" t="s">
        <v>588</v>
      </c>
      <c r="E189" s="16" t="str">
        <f aca="false">IFERROR(INDEX(Doc_Catalogo!$B:$B,MATCH(D189,Doc_Catalogo!$A:$A,0)),"")</f>
        <v>Ficha de EPI Atualizada</v>
      </c>
      <c r="F189" s="7"/>
      <c r="G189" s="13"/>
      <c r="H189" s="16" t="str">
        <f aca="true">IF(G189="","N/A",IF(G189&lt;TODAY(),"VENCIDO",IF(G189&lt;=TODAY()+30,"VENCENDO","VALIDO")))</f>
        <v>N/A</v>
      </c>
      <c r="I189" s="7"/>
      <c r="J189" s="7" t="s">
        <v>686</v>
      </c>
    </row>
    <row r="190" customFormat="false" ht="15" hidden="false" customHeight="false" outlineLevel="0" collapsed="false">
      <c r="A190" s="7" t="s">
        <v>875</v>
      </c>
      <c r="B190" s="7" t="s">
        <v>276</v>
      </c>
      <c r="C190" s="16" t="str">
        <f aca="false">IFERROR(INDEX(Colaboradores!$E:$E,MATCH(B190,Colaboradores!$A:$A,0)),"")</f>
        <v>WALISON TANDI AZEVEDO DE OLIVEIRA MELO</v>
      </c>
      <c r="D190" s="7" t="s">
        <v>591</v>
      </c>
      <c r="E190" s="16" t="str">
        <f aca="false">IFERROR(INDEX(Doc_Catalogo!$B:$B,MATCH(D190,Doc_Catalogo!$A:$A,0)),"")</f>
        <v>Cartao de vacina (Tetano, Hepatite B e Febre amarela)</v>
      </c>
      <c r="F190" s="7"/>
      <c r="G190" s="13"/>
      <c r="H190" s="16" t="str">
        <f aca="true">IF(G190="","N/A",IF(G190&lt;TODAY(),"VENCIDO",IF(G190&lt;=TODAY()+30,"VENCENDO","VALIDO")))</f>
        <v>N/A</v>
      </c>
      <c r="I190" s="7"/>
      <c r="J190" s="7" t="s">
        <v>686</v>
      </c>
    </row>
    <row r="191" customFormat="false" ht="15" hidden="false" customHeight="false" outlineLevel="0" collapsed="false">
      <c r="A191" s="6" t="s">
        <v>876</v>
      </c>
      <c r="B191" s="6" t="s">
        <v>279</v>
      </c>
      <c r="C191" s="12" t="str">
        <f aca="false">IFERROR(INDEX(Colaboradores!$E:$E,MATCH(B191,Colaboradores!$A:$A,0)),"")</f>
        <v>AGOSTINHO GONCALVES CORDEIRO</v>
      </c>
      <c r="D191" s="6" t="s">
        <v>501</v>
      </c>
      <c r="E191" s="12" t="str">
        <f aca="false">IFERROR(INDEX(Doc_Catalogo!$B:$B,MATCH(D191,Doc_Catalogo!$A:$A,0)),"")</f>
        <v>ASO</v>
      </c>
      <c r="F191" s="6"/>
      <c r="G191" s="17" t="n">
        <v>46533</v>
      </c>
      <c r="H191" s="12" t="str">
        <f aca="true">IF(G191="","N/A",IF(G191&lt;TODAY(),"VENCIDO",IF(G191&lt;=TODAY()+30,"VENCENDO","VALIDO")))</f>
        <v>VALIDO</v>
      </c>
      <c r="I191" s="6"/>
      <c r="J191" s="6"/>
    </row>
    <row r="192" customFormat="false" ht="15" hidden="false" customHeight="false" outlineLevel="0" collapsed="false">
      <c r="A192" s="6" t="s">
        <v>877</v>
      </c>
      <c r="B192" s="6" t="s">
        <v>279</v>
      </c>
      <c r="C192" s="12" t="str">
        <f aca="false">IFERROR(INDEX(Colaboradores!$E:$E,MATCH(B192,Colaboradores!$A:$A,0)),"")</f>
        <v>AGOSTINHO GONCALVES CORDEIRO</v>
      </c>
      <c r="D192" s="6" t="s">
        <v>519</v>
      </c>
      <c r="E192" s="12" t="str">
        <f aca="false">IFERROR(INDEX(Doc_Catalogo!$B:$B,MATCH(D192,Doc_Catalogo!$A:$A,0)),"")</f>
        <v>Certificado da NR06 — Colaborador</v>
      </c>
      <c r="F192" s="6"/>
      <c r="G192" s="17" t="n">
        <v>46528</v>
      </c>
      <c r="H192" s="12" t="str">
        <f aca="true">IF(G192="","N/A",IF(G192&lt;TODAY(),"VENCIDO",IF(G192&lt;=TODAY()+30,"VENCENDO","VALIDO")))</f>
        <v>VALIDO</v>
      </c>
      <c r="I192" s="6"/>
      <c r="J192" s="6"/>
    </row>
    <row r="193" customFormat="false" ht="15" hidden="false" customHeight="false" outlineLevel="0" collapsed="false">
      <c r="A193" s="6" t="s">
        <v>878</v>
      </c>
      <c r="B193" s="6" t="s">
        <v>279</v>
      </c>
      <c r="C193" s="12" t="str">
        <f aca="false">IFERROR(INDEX(Colaboradores!$E:$E,MATCH(B193,Colaboradores!$A:$A,0)),"")</f>
        <v>AGOSTINHO GONCALVES CORDEIRO</v>
      </c>
      <c r="D193" s="6" t="s">
        <v>537</v>
      </c>
      <c r="E193" s="12" t="str">
        <f aca="false">IFERROR(INDEX(Doc_Catalogo!$B:$B,MATCH(D193,Doc_Catalogo!$A:$A,0)),"")</f>
        <v>Certificado da NR12 — Colaborador</v>
      </c>
      <c r="F193" s="6"/>
      <c r="G193" s="17" t="n">
        <v>46528</v>
      </c>
      <c r="H193" s="12" t="str">
        <f aca="true">IF(G193="","N/A",IF(G193&lt;TODAY(),"VENCIDO",IF(G193&lt;=TODAY()+30,"VENCENDO","VALIDO")))</f>
        <v>VALIDO</v>
      </c>
      <c r="I193" s="6"/>
      <c r="J193" s="6"/>
    </row>
    <row r="194" customFormat="false" ht="15" hidden="false" customHeight="false" outlineLevel="0" collapsed="false">
      <c r="A194" s="6" t="s">
        <v>879</v>
      </c>
      <c r="B194" s="6" t="s">
        <v>279</v>
      </c>
      <c r="C194" s="12" t="str">
        <f aca="false">IFERROR(INDEX(Colaboradores!$E:$E,MATCH(B194,Colaboradores!$A:$A,0)),"")</f>
        <v>AGOSTINHO GONCALVES CORDEIRO</v>
      </c>
      <c r="D194" s="6" t="s">
        <v>549</v>
      </c>
      <c r="E194" s="12" t="str">
        <f aca="false">IFERROR(INDEX(Doc_Catalogo!$B:$B,MATCH(D194,Doc_Catalogo!$A:$A,0)),"")</f>
        <v>Certificado da NR18 — Colaborador</v>
      </c>
      <c r="F194" s="6"/>
      <c r="G194" s="17" t="n">
        <v>46528</v>
      </c>
      <c r="H194" s="12" t="str">
        <f aca="true">IF(G194="","N/A",IF(G194&lt;TODAY(),"VENCIDO",IF(G194&lt;=TODAY()+30,"VENCENDO","VALIDO")))</f>
        <v>VALIDO</v>
      </c>
      <c r="I194" s="6"/>
      <c r="J194" s="6"/>
    </row>
    <row r="195" customFormat="false" ht="15" hidden="false" customHeight="false" outlineLevel="0" collapsed="false">
      <c r="A195" s="6" t="s">
        <v>880</v>
      </c>
      <c r="B195" s="6" t="s">
        <v>279</v>
      </c>
      <c r="C195" s="12" t="str">
        <f aca="false">IFERROR(INDEX(Colaboradores!$E:$E,MATCH(B195,Colaboradores!$A:$A,0)),"")</f>
        <v>AGOSTINHO GONCALVES CORDEIRO</v>
      </c>
      <c r="D195" s="6" t="s">
        <v>565</v>
      </c>
      <c r="E195" s="12" t="str">
        <f aca="false">IFERROR(INDEX(Doc_Catalogo!$B:$B,MATCH(D195,Doc_Catalogo!$A:$A,0)),"")</f>
        <v>Certificado da NR35 — Colaborador</v>
      </c>
      <c r="F195" s="6"/>
      <c r="G195" s="17" t="n">
        <v>46528</v>
      </c>
      <c r="H195" s="12" t="str">
        <f aca="true">IF(G195="","N/A",IF(G195&lt;TODAY(),"VENCIDO",IF(G195&lt;=TODAY()+30,"VENCENDO","VALIDO")))</f>
        <v>VALIDO</v>
      </c>
      <c r="I195" s="6"/>
      <c r="J195" s="6"/>
    </row>
    <row r="196" customFormat="false" ht="15" hidden="false" customHeight="false" outlineLevel="0" collapsed="false">
      <c r="A196" s="7" t="s">
        <v>881</v>
      </c>
      <c r="B196" s="7" t="s">
        <v>279</v>
      </c>
      <c r="C196" s="16" t="str">
        <f aca="false">IFERROR(INDEX(Colaboradores!$E:$E,MATCH(B196,Colaboradores!$A:$A,0)),"")</f>
        <v>AGOSTINHO GONCALVES CORDEIRO</v>
      </c>
      <c r="D196" s="7" t="s">
        <v>586</v>
      </c>
      <c r="E196" s="16" t="str">
        <f aca="false">IFERROR(INDEX(Doc_Catalogo!$B:$B,MATCH(D196,Doc_Catalogo!$A:$A,0)),"")</f>
        <v>Ordem de Servico</v>
      </c>
      <c r="F196" s="7"/>
      <c r="G196" s="13"/>
      <c r="H196" s="16" t="str">
        <f aca="true">IF(G196="","N/A",IF(G196&lt;TODAY(),"VENCIDO",IF(G196&lt;=TODAY()+30,"VENCENDO","VALIDO")))</f>
        <v>N/A</v>
      </c>
      <c r="I196" s="7"/>
      <c r="J196" s="7" t="s">
        <v>686</v>
      </c>
    </row>
    <row r="197" customFormat="false" ht="15" hidden="false" customHeight="false" outlineLevel="0" collapsed="false">
      <c r="A197" s="6" t="s">
        <v>882</v>
      </c>
      <c r="B197" s="6" t="s">
        <v>281</v>
      </c>
      <c r="C197" s="12" t="str">
        <f aca="false">IFERROR(INDEX(Colaboradores!$E:$E,MATCH(B197,Colaboradores!$A:$A,0)),"")</f>
        <v>FRANCISCO DE ASSIS SANTOS NASCIMENTO</v>
      </c>
      <c r="D197" s="6" t="s">
        <v>501</v>
      </c>
      <c r="E197" s="12" t="str">
        <f aca="false">IFERROR(INDEX(Doc_Catalogo!$B:$B,MATCH(D197,Doc_Catalogo!$A:$A,0)),"")</f>
        <v>ASO</v>
      </c>
      <c r="F197" s="6"/>
      <c r="G197" s="17" t="n">
        <v>46533</v>
      </c>
      <c r="H197" s="12" t="str">
        <f aca="true">IF(G197="","N/A",IF(G197&lt;TODAY(),"VENCIDO",IF(G197&lt;=TODAY()+30,"VENCENDO","VALIDO")))</f>
        <v>VALIDO</v>
      </c>
      <c r="I197" s="6"/>
      <c r="J197" s="6"/>
    </row>
    <row r="198" customFormat="false" ht="15" hidden="false" customHeight="false" outlineLevel="0" collapsed="false">
      <c r="A198" s="6" t="s">
        <v>883</v>
      </c>
      <c r="B198" s="6" t="s">
        <v>281</v>
      </c>
      <c r="C198" s="12" t="str">
        <f aca="false">IFERROR(INDEX(Colaboradores!$E:$E,MATCH(B198,Colaboradores!$A:$A,0)),"")</f>
        <v>FRANCISCO DE ASSIS SANTOS NASCIMENTO</v>
      </c>
      <c r="D198" s="6" t="s">
        <v>519</v>
      </c>
      <c r="E198" s="12" t="str">
        <f aca="false">IFERROR(INDEX(Doc_Catalogo!$B:$B,MATCH(D198,Doc_Catalogo!$A:$A,0)),"")</f>
        <v>Certificado da NR06 — Colaborador</v>
      </c>
      <c r="F198" s="6"/>
      <c r="G198" s="17" t="n">
        <v>46528</v>
      </c>
      <c r="H198" s="12" t="str">
        <f aca="true">IF(G198="","N/A",IF(G198&lt;TODAY(),"VENCIDO",IF(G198&lt;=TODAY()+30,"VENCENDO","VALIDO")))</f>
        <v>VALIDO</v>
      </c>
      <c r="I198" s="6"/>
      <c r="J198" s="6"/>
    </row>
    <row r="199" customFormat="false" ht="15" hidden="false" customHeight="false" outlineLevel="0" collapsed="false">
      <c r="A199" s="6" t="s">
        <v>884</v>
      </c>
      <c r="B199" s="6" t="s">
        <v>281</v>
      </c>
      <c r="C199" s="12" t="str">
        <f aca="false">IFERROR(INDEX(Colaboradores!$E:$E,MATCH(B199,Colaboradores!$A:$A,0)),"")</f>
        <v>FRANCISCO DE ASSIS SANTOS NASCIMENTO</v>
      </c>
      <c r="D199" s="6" t="s">
        <v>537</v>
      </c>
      <c r="E199" s="12" t="str">
        <f aca="false">IFERROR(INDEX(Doc_Catalogo!$B:$B,MATCH(D199,Doc_Catalogo!$A:$A,0)),"")</f>
        <v>Certificado da NR12 — Colaborador</v>
      </c>
      <c r="F199" s="6"/>
      <c r="G199" s="17" t="n">
        <v>46528</v>
      </c>
      <c r="H199" s="12" t="str">
        <f aca="true">IF(G199="","N/A",IF(G199&lt;TODAY(),"VENCIDO",IF(G199&lt;=TODAY()+30,"VENCENDO","VALIDO")))</f>
        <v>VALIDO</v>
      </c>
      <c r="I199" s="6"/>
      <c r="J199" s="6"/>
    </row>
    <row r="200" customFormat="false" ht="15" hidden="false" customHeight="false" outlineLevel="0" collapsed="false">
      <c r="A200" s="6" t="s">
        <v>885</v>
      </c>
      <c r="B200" s="6" t="s">
        <v>281</v>
      </c>
      <c r="C200" s="12" t="str">
        <f aca="false">IFERROR(INDEX(Colaboradores!$E:$E,MATCH(B200,Colaboradores!$A:$A,0)),"")</f>
        <v>FRANCISCO DE ASSIS SANTOS NASCIMENTO</v>
      </c>
      <c r="D200" s="6" t="s">
        <v>549</v>
      </c>
      <c r="E200" s="12" t="str">
        <f aca="false">IFERROR(INDEX(Doc_Catalogo!$B:$B,MATCH(D200,Doc_Catalogo!$A:$A,0)),"")</f>
        <v>Certificado da NR18 — Colaborador</v>
      </c>
      <c r="F200" s="6"/>
      <c r="G200" s="17" t="n">
        <v>46528</v>
      </c>
      <c r="H200" s="12" t="str">
        <f aca="true">IF(G200="","N/A",IF(G200&lt;TODAY(),"VENCIDO",IF(G200&lt;=TODAY()+30,"VENCENDO","VALIDO")))</f>
        <v>VALIDO</v>
      </c>
      <c r="I200" s="6"/>
      <c r="J200" s="6"/>
    </row>
    <row r="201" customFormat="false" ht="15" hidden="false" customHeight="false" outlineLevel="0" collapsed="false">
      <c r="A201" s="6" t="s">
        <v>886</v>
      </c>
      <c r="B201" s="6" t="s">
        <v>281</v>
      </c>
      <c r="C201" s="12" t="str">
        <f aca="false">IFERROR(INDEX(Colaboradores!$E:$E,MATCH(B201,Colaboradores!$A:$A,0)),"")</f>
        <v>FRANCISCO DE ASSIS SANTOS NASCIMENTO</v>
      </c>
      <c r="D201" s="6" t="s">
        <v>565</v>
      </c>
      <c r="E201" s="12" t="str">
        <f aca="false">IFERROR(INDEX(Doc_Catalogo!$B:$B,MATCH(D201,Doc_Catalogo!$A:$A,0)),"")</f>
        <v>Certificado da NR35 — Colaborador</v>
      </c>
      <c r="F201" s="6"/>
      <c r="G201" s="17" t="n">
        <v>46528</v>
      </c>
      <c r="H201" s="12" t="str">
        <f aca="true">IF(G201="","N/A",IF(G201&lt;TODAY(),"VENCIDO",IF(G201&lt;=TODAY()+30,"VENCENDO","VALIDO")))</f>
        <v>VALIDO</v>
      </c>
      <c r="I201" s="6"/>
      <c r="J201" s="6"/>
    </row>
    <row r="202" customFormat="false" ht="15" hidden="false" customHeight="false" outlineLevel="0" collapsed="false">
      <c r="A202" s="7" t="s">
        <v>887</v>
      </c>
      <c r="B202" s="7" t="s">
        <v>281</v>
      </c>
      <c r="C202" s="16" t="str">
        <f aca="false">IFERROR(INDEX(Colaboradores!$E:$E,MATCH(B202,Colaboradores!$A:$A,0)),"")</f>
        <v>FRANCISCO DE ASSIS SANTOS NASCIMENTO</v>
      </c>
      <c r="D202" s="7" t="s">
        <v>586</v>
      </c>
      <c r="E202" s="16" t="str">
        <f aca="false">IFERROR(INDEX(Doc_Catalogo!$B:$B,MATCH(D202,Doc_Catalogo!$A:$A,0)),"")</f>
        <v>Ordem de Servico</v>
      </c>
      <c r="F202" s="7"/>
      <c r="G202" s="13"/>
      <c r="H202" s="16" t="str">
        <f aca="true">IF(G202="","N/A",IF(G202&lt;TODAY(),"VENCIDO",IF(G202&lt;=TODAY()+30,"VENCENDO","VALIDO")))</f>
        <v>N/A</v>
      </c>
      <c r="I202" s="7"/>
      <c r="J202" s="7" t="s">
        <v>686</v>
      </c>
    </row>
    <row r="203" customFormat="false" ht="15" hidden="false" customHeight="false" outlineLevel="0" collapsed="false">
      <c r="A203" s="6" t="s">
        <v>888</v>
      </c>
      <c r="B203" s="6" t="s">
        <v>283</v>
      </c>
      <c r="C203" s="12" t="str">
        <f aca="false">IFERROR(INDEX(Colaboradores!$E:$E,MATCH(B203,Colaboradores!$A:$A,0)),"")</f>
        <v>JOAO PAULO BATISTA DOS SANTOS</v>
      </c>
      <c r="D203" s="6" t="s">
        <v>501</v>
      </c>
      <c r="E203" s="12" t="str">
        <f aca="false">IFERROR(INDEX(Doc_Catalogo!$B:$B,MATCH(D203,Doc_Catalogo!$A:$A,0)),"")</f>
        <v>ASO</v>
      </c>
      <c r="F203" s="6"/>
      <c r="G203" s="17" t="n">
        <v>46533</v>
      </c>
      <c r="H203" s="12" t="str">
        <f aca="true">IF(G203="","N/A",IF(G203&lt;TODAY(),"VENCIDO",IF(G203&lt;=TODAY()+30,"VENCENDO","VALIDO")))</f>
        <v>VALIDO</v>
      </c>
      <c r="I203" s="6"/>
      <c r="J203" s="6"/>
    </row>
    <row r="204" customFormat="false" ht="15" hidden="false" customHeight="false" outlineLevel="0" collapsed="false">
      <c r="A204" s="6" t="s">
        <v>889</v>
      </c>
      <c r="B204" s="6" t="s">
        <v>283</v>
      </c>
      <c r="C204" s="12" t="str">
        <f aca="false">IFERROR(INDEX(Colaboradores!$E:$E,MATCH(B204,Colaboradores!$A:$A,0)),"")</f>
        <v>JOAO PAULO BATISTA DOS SANTOS</v>
      </c>
      <c r="D204" s="6" t="s">
        <v>519</v>
      </c>
      <c r="E204" s="12" t="str">
        <f aca="false">IFERROR(INDEX(Doc_Catalogo!$B:$B,MATCH(D204,Doc_Catalogo!$A:$A,0)),"")</f>
        <v>Certificado da NR06 — Colaborador</v>
      </c>
      <c r="F204" s="6"/>
      <c r="G204" s="17" t="n">
        <v>46528</v>
      </c>
      <c r="H204" s="12" t="str">
        <f aca="true">IF(G204="","N/A",IF(G204&lt;TODAY(),"VENCIDO",IF(G204&lt;=TODAY()+30,"VENCENDO","VALIDO")))</f>
        <v>VALIDO</v>
      </c>
      <c r="I204" s="6"/>
      <c r="J204" s="6"/>
    </row>
    <row r="205" customFormat="false" ht="15" hidden="false" customHeight="false" outlineLevel="0" collapsed="false">
      <c r="A205" s="6" t="s">
        <v>890</v>
      </c>
      <c r="B205" s="6" t="s">
        <v>283</v>
      </c>
      <c r="C205" s="12" t="str">
        <f aca="false">IFERROR(INDEX(Colaboradores!$E:$E,MATCH(B205,Colaboradores!$A:$A,0)),"")</f>
        <v>JOAO PAULO BATISTA DOS SANTOS</v>
      </c>
      <c r="D205" s="6" t="s">
        <v>537</v>
      </c>
      <c r="E205" s="12" t="str">
        <f aca="false">IFERROR(INDEX(Doc_Catalogo!$B:$B,MATCH(D205,Doc_Catalogo!$A:$A,0)),"")</f>
        <v>Certificado da NR12 — Colaborador</v>
      </c>
      <c r="F205" s="6"/>
      <c r="G205" s="17" t="n">
        <v>46528</v>
      </c>
      <c r="H205" s="12" t="str">
        <f aca="true">IF(G205="","N/A",IF(G205&lt;TODAY(),"VENCIDO",IF(G205&lt;=TODAY()+30,"VENCENDO","VALIDO")))</f>
        <v>VALIDO</v>
      </c>
      <c r="I205" s="6"/>
      <c r="J205" s="6"/>
    </row>
    <row r="206" customFormat="false" ht="15" hidden="false" customHeight="false" outlineLevel="0" collapsed="false">
      <c r="A206" s="6" t="s">
        <v>891</v>
      </c>
      <c r="B206" s="6" t="s">
        <v>283</v>
      </c>
      <c r="C206" s="12" t="str">
        <f aca="false">IFERROR(INDEX(Colaboradores!$E:$E,MATCH(B206,Colaboradores!$A:$A,0)),"")</f>
        <v>JOAO PAULO BATISTA DOS SANTOS</v>
      </c>
      <c r="D206" s="6" t="s">
        <v>549</v>
      </c>
      <c r="E206" s="12" t="str">
        <f aca="false">IFERROR(INDEX(Doc_Catalogo!$B:$B,MATCH(D206,Doc_Catalogo!$A:$A,0)),"")</f>
        <v>Certificado da NR18 — Colaborador</v>
      </c>
      <c r="F206" s="6"/>
      <c r="G206" s="17" t="n">
        <v>46528</v>
      </c>
      <c r="H206" s="12" t="str">
        <f aca="true">IF(G206="","N/A",IF(G206&lt;TODAY(),"VENCIDO",IF(G206&lt;=TODAY()+30,"VENCENDO","VALIDO")))</f>
        <v>VALIDO</v>
      </c>
      <c r="I206" s="6"/>
      <c r="J206" s="6"/>
    </row>
    <row r="207" customFormat="false" ht="15" hidden="false" customHeight="false" outlineLevel="0" collapsed="false">
      <c r="A207" s="6" t="s">
        <v>892</v>
      </c>
      <c r="B207" s="6" t="s">
        <v>283</v>
      </c>
      <c r="C207" s="12" t="str">
        <f aca="false">IFERROR(INDEX(Colaboradores!$E:$E,MATCH(B207,Colaboradores!$A:$A,0)),"")</f>
        <v>JOAO PAULO BATISTA DOS SANTOS</v>
      </c>
      <c r="D207" s="6" t="s">
        <v>565</v>
      </c>
      <c r="E207" s="12" t="str">
        <f aca="false">IFERROR(INDEX(Doc_Catalogo!$B:$B,MATCH(D207,Doc_Catalogo!$A:$A,0)),"")</f>
        <v>Certificado da NR35 — Colaborador</v>
      </c>
      <c r="F207" s="6"/>
      <c r="G207" s="17" t="n">
        <v>46528</v>
      </c>
      <c r="H207" s="12" t="str">
        <f aca="true">IF(G207="","N/A",IF(G207&lt;TODAY(),"VENCIDO",IF(G207&lt;=TODAY()+30,"VENCENDO","VALIDO")))</f>
        <v>VALIDO</v>
      </c>
      <c r="I207" s="6"/>
      <c r="J207" s="6"/>
    </row>
    <row r="208" customFormat="false" ht="15" hidden="false" customHeight="false" outlineLevel="0" collapsed="false">
      <c r="A208" s="7" t="s">
        <v>893</v>
      </c>
      <c r="B208" s="7" t="s">
        <v>283</v>
      </c>
      <c r="C208" s="16" t="str">
        <f aca="false">IFERROR(INDEX(Colaboradores!$E:$E,MATCH(B208,Colaboradores!$A:$A,0)),"")</f>
        <v>JOAO PAULO BATISTA DOS SANTOS</v>
      </c>
      <c r="D208" s="7" t="s">
        <v>586</v>
      </c>
      <c r="E208" s="16" t="str">
        <f aca="false">IFERROR(INDEX(Doc_Catalogo!$B:$B,MATCH(D208,Doc_Catalogo!$A:$A,0)),"")</f>
        <v>Ordem de Servico</v>
      </c>
      <c r="F208" s="7"/>
      <c r="G208" s="13"/>
      <c r="H208" s="16" t="str">
        <f aca="true">IF(G208="","N/A",IF(G208&lt;TODAY(),"VENCIDO",IF(G208&lt;=TODAY()+30,"VENCENDO","VALIDO")))</f>
        <v>N/A</v>
      </c>
      <c r="I208" s="7"/>
      <c r="J208" s="7" t="s">
        <v>686</v>
      </c>
    </row>
    <row r="209" customFormat="false" ht="15" hidden="false" customHeight="false" outlineLevel="0" collapsed="false">
      <c r="A209" s="6" t="s">
        <v>894</v>
      </c>
      <c r="B209" s="6" t="s">
        <v>286</v>
      </c>
      <c r="C209" s="12" t="str">
        <f aca="false">IFERROR(INDEX(Colaboradores!$E:$E,MATCH(B209,Colaboradores!$A:$A,0)),"")</f>
        <v>SAMUEL VICENTE NAZARO DA SILVA</v>
      </c>
      <c r="D209" s="6" t="s">
        <v>501</v>
      </c>
      <c r="E209" s="12" t="str">
        <f aca="false">IFERROR(INDEX(Doc_Catalogo!$B:$B,MATCH(D209,Doc_Catalogo!$A:$A,0)),"")</f>
        <v>ASO</v>
      </c>
      <c r="F209" s="6"/>
      <c r="G209" s="17" t="n">
        <v>46533</v>
      </c>
      <c r="H209" s="12" t="str">
        <f aca="true">IF(G209="","N/A",IF(G209&lt;TODAY(),"VENCIDO",IF(G209&lt;=TODAY()+30,"VENCENDO","VALIDO")))</f>
        <v>VALIDO</v>
      </c>
      <c r="I209" s="6"/>
      <c r="J209" s="6"/>
    </row>
    <row r="210" customFormat="false" ht="15" hidden="false" customHeight="false" outlineLevel="0" collapsed="false">
      <c r="A210" s="6" t="s">
        <v>895</v>
      </c>
      <c r="B210" s="6" t="s">
        <v>286</v>
      </c>
      <c r="C210" s="12" t="str">
        <f aca="false">IFERROR(INDEX(Colaboradores!$E:$E,MATCH(B210,Colaboradores!$A:$A,0)),"")</f>
        <v>SAMUEL VICENTE NAZARO DA SILVA</v>
      </c>
      <c r="D210" s="6" t="s">
        <v>519</v>
      </c>
      <c r="E210" s="12" t="str">
        <f aca="false">IFERROR(INDEX(Doc_Catalogo!$B:$B,MATCH(D210,Doc_Catalogo!$A:$A,0)),"")</f>
        <v>Certificado da NR06 — Colaborador</v>
      </c>
      <c r="F210" s="6"/>
      <c r="G210" s="17" t="n">
        <v>46528</v>
      </c>
      <c r="H210" s="12" t="str">
        <f aca="true">IF(G210="","N/A",IF(G210&lt;TODAY(),"VENCIDO",IF(G210&lt;=TODAY()+30,"VENCENDO","VALIDO")))</f>
        <v>VALIDO</v>
      </c>
      <c r="I210" s="6"/>
      <c r="J210" s="6"/>
    </row>
    <row r="211" customFormat="false" ht="15" hidden="false" customHeight="false" outlineLevel="0" collapsed="false">
      <c r="A211" s="6" t="s">
        <v>896</v>
      </c>
      <c r="B211" s="6" t="s">
        <v>286</v>
      </c>
      <c r="C211" s="12" t="str">
        <f aca="false">IFERROR(INDEX(Colaboradores!$E:$E,MATCH(B211,Colaboradores!$A:$A,0)),"")</f>
        <v>SAMUEL VICENTE NAZARO DA SILVA</v>
      </c>
      <c r="D211" s="6" t="s">
        <v>537</v>
      </c>
      <c r="E211" s="12" t="str">
        <f aca="false">IFERROR(INDEX(Doc_Catalogo!$B:$B,MATCH(D211,Doc_Catalogo!$A:$A,0)),"")</f>
        <v>Certificado da NR12 — Colaborador</v>
      </c>
      <c r="F211" s="6"/>
      <c r="G211" s="17" t="n">
        <v>46528</v>
      </c>
      <c r="H211" s="12" t="str">
        <f aca="true">IF(G211="","N/A",IF(G211&lt;TODAY(),"VENCIDO",IF(G211&lt;=TODAY()+30,"VENCENDO","VALIDO")))</f>
        <v>VALIDO</v>
      </c>
      <c r="I211" s="6"/>
      <c r="J211" s="6"/>
    </row>
    <row r="212" customFormat="false" ht="15" hidden="false" customHeight="false" outlineLevel="0" collapsed="false">
      <c r="A212" s="6" t="s">
        <v>897</v>
      </c>
      <c r="B212" s="6" t="s">
        <v>286</v>
      </c>
      <c r="C212" s="12" t="str">
        <f aca="false">IFERROR(INDEX(Colaboradores!$E:$E,MATCH(B212,Colaboradores!$A:$A,0)),"")</f>
        <v>SAMUEL VICENTE NAZARO DA SILVA</v>
      </c>
      <c r="D212" s="6" t="s">
        <v>549</v>
      </c>
      <c r="E212" s="12" t="str">
        <f aca="false">IFERROR(INDEX(Doc_Catalogo!$B:$B,MATCH(D212,Doc_Catalogo!$A:$A,0)),"")</f>
        <v>Certificado da NR18 — Colaborador</v>
      </c>
      <c r="F212" s="6"/>
      <c r="G212" s="17" t="n">
        <v>46528</v>
      </c>
      <c r="H212" s="12" t="str">
        <f aca="true">IF(G212="","N/A",IF(G212&lt;TODAY(),"VENCIDO",IF(G212&lt;=TODAY()+30,"VENCENDO","VALIDO")))</f>
        <v>VALIDO</v>
      </c>
      <c r="I212" s="6"/>
      <c r="J212" s="6"/>
    </row>
    <row r="213" customFormat="false" ht="15" hidden="false" customHeight="false" outlineLevel="0" collapsed="false">
      <c r="A213" s="6" t="s">
        <v>898</v>
      </c>
      <c r="B213" s="6" t="s">
        <v>286</v>
      </c>
      <c r="C213" s="12" t="str">
        <f aca="false">IFERROR(INDEX(Colaboradores!$E:$E,MATCH(B213,Colaboradores!$A:$A,0)),"")</f>
        <v>SAMUEL VICENTE NAZARO DA SILVA</v>
      </c>
      <c r="D213" s="6" t="s">
        <v>565</v>
      </c>
      <c r="E213" s="12" t="str">
        <f aca="false">IFERROR(INDEX(Doc_Catalogo!$B:$B,MATCH(D213,Doc_Catalogo!$A:$A,0)),"")</f>
        <v>Certificado da NR35 — Colaborador</v>
      </c>
      <c r="F213" s="6"/>
      <c r="G213" s="17" t="n">
        <v>46528</v>
      </c>
      <c r="H213" s="12" t="str">
        <f aca="true">IF(G213="","N/A",IF(G213&lt;TODAY(),"VENCIDO",IF(G213&lt;=TODAY()+30,"VENCENDO","VALIDO")))</f>
        <v>VALIDO</v>
      </c>
      <c r="I213" s="6"/>
      <c r="J213" s="6"/>
    </row>
    <row r="214" customFormat="false" ht="15" hidden="false" customHeight="false" outlineLevel="0" collapsed="false">
      <c r="A214" s="7" t="s">
        <v>899</v>
      </c>
      <c r="B214" s="7" t="s">
        <v>286</v>
      </c>
      <c r="C214" s="16" t="str">
        <f aca="false">IFERROR(INDEX(Colaboradores!$E:$E,MATCH(B214,Colaboradores!$A:$A,0)),"")</f>
        <v>SAMUEL VICENTE NAZARO DA SILVA</v>
      </c>
      <c r="D214" s="7" t="s">
        <v>586</v>
      </c>
      <c r="E214" s="16" t="str">
        <f aca="false">IFERROR(INDEX(Doc_Catalogo!$B:$B,MATCH(D214,Doc_Catalogo!$A:$A,0)),"")</f>
        <v>Ordem de Servico</v>
      </c>
      <c r="F214" s="7"/>
      <c r="G214" s="13"/>
      <c r="H214" s="16" t="str">
        <f aca="true">IF(G214="","N/A",IF(G214&lt;TODAY(),"VENCIDO",IF(G214&lt;=TODAY()+30,"VENCENDO","VALIDO")))</f>
        <v>N/A</v>
      </c>
      <c r="I214" s="7"/>
      <c r="J214" s="7" t="s">
        <v>686</v>
      </c>
    </row>
    <row r="215" customFormat="false" ht="15" hidden="false" customHeight="false" outlineLevel="0" collapsed="false">
      <c r="A215" s="6" t="s">
        <v>900</v>
      </c>
      <c r="B215" s="6" t="s">
        <v>285</v>
      </c>
      <c r="C215" s="12" t="str">
        <f aca="false">IFERROR(INDEX(Colaboradores!$E:$E,MATCH(B215,Colaboradores!$A:$A,0)),"")</f>
        <v>RICARDO MANOEL INACIO</v>
      </c>
      <c r="D215" s="6" t="s">
        <v>501</v>
      </c>
      <c r="E215" s="12" t="str">
        <f aca="false">IFERROR(INDEX(Doc_Catalogo!$B:$B,MATCH(D215,Doc_Catalogo!$A:$A,0)),"")</f>
        <v>ASO</v>
      </c>
      <c r="F215" s="6"/>
      <c r="G215" s="17" t="n">
        <v>46533</v>
      </c>
      <c r="H215" s="12" t="str">
        <f aca="true">IF(G215="","N/A",IF(G215&lt;TODAY(),"VENCIDO",IF(G215&lt;=TODAY()+30,"VENCENDO","VALIDO")))</f>
        <v>VALIDO</v>
      </c>
      <c r="I215" s="6"/>
      <c r="J215" s="6"/>
    </row>
    <row r="216" customFormat="false" ht="15" hidden="false" customHeight="false" outlineLevel="0" collapsed="false">
      <c r="A216" s="6" t="s">
        <v>901</v>
      </c>
      <c r="B216" s="6" t="s">
        <v>285</v>
      </c>
      <c r="C216" s="12" t="str">
        <f aca="false">IFERROR(INDEX(Colaboradores!$E:$E,MATCH(B216,Colaboradores!$A:$A,0)),"")</f>
        <v>RICARDO MANOEL INACIO</v>
      </c>
      <c r="D216" s="6" t="s">
        <v>519</v>
      </c>
      <c r="E216" s="12" t="str">
        <f aca="false">IFERROR(INDEX(Doc_Catalogo!$B:$B,MATCH(D216,Doc_Catalogo!$A:$A,0)),"")</f>
        <v>Certificado da NR06 — Colaborador</v>
      </c>
      <c r="F216" s="6"/>
      <c r="G216" s="17" t="n">
        <v>46528</v>
      </c>
      <c r="H216" s="12" t="str">
        <f aca="true">IF(G216="","N/A",IF(G216&lt;TODAY(),"VENCIDO",IF(G216&lt;=TODAY()+30,"VENCENDO","VALIDO")))</f>
        <v>VALIDO</v>
      </c>
      <c r="I216" s="6"/>
      <c r="J216" s="6"/>
    </row>
    <row r="217" customFormat="false" ht="15" hidden="false" customHeight="false" outlineLevel="0" collapsed="false">
      <c r="A217" s="6" t="s">
        <v>902</v>
      </c>
      <c r="B217" s="6" t="s">
        <v>285</v>
      </c>
      <c r="C217" s="12" t="str">
        <f aca="false">IFERROR(INDEX(Colaboradores!$E:$E,MATCH(B217,Colaboradores!$A:$A,0)),"")</f>
        <v>RICARDO MANOEL INACIO</v>
      </c>
      <c r="D217" s="6" t="s">
        <v>537</v>
      </c>
      <c r="E217" s="12" t="str">
        <f aca="false">IFERROR(INDEX(Doc_Catalogo!$B:$B,MATCH(D217,Doc_Catalogo!$A:$A,0)),"")</f>
        <v>Certificado da NR12 — Colaborador</v>
      </c>
      <c r="F217" s="6"/>
      <c r="G217" s="17" t="n">
        <v>46528</v>
      </c>
      <c r="H217" s="12" t="str">
        <f aca="true">IF(G217="","N/A",IF(G217&lt;TODAY(),"VENCIDO",IF(G217&lt;=TODAY()+30,"VENCENDO","VALIDO")))</f>
        <v>VALIDO</v>
      </c>
      <c r="I217" s="6"/>
      <c r="J217" s="6"/>
    </row>
    <row r="218" customFormat="false" ht="15" hidden="false" customHeight="false" outlineLevel="0" collapsed="false">
      <c r="A218" s="6" t="s">
        <v>903</v>
      </c>
      <c r="B218" s="6" t="s">
        <v>285</v>
      </c>
      <c r="C218" s="12" t="str">
        <f aca="false">IFERROR(INDEX(Colaboradores!$E:$E,MATCH(B218,Colaboradores!$A:$A,0)),"")</f>
        <v>RICARDO MANOEL INACIO</v>
      </c>
      <c r="D218" s="6" t="s">
        <v>549</v>
      </c>
      <c r="E218" s="12" t="str">
        <f aca="false">IFERROR(INDEX(Doc_Catalogo!$B:$B,MATCH(D218,Doc_Catalogo!$A:$A,0)),"")</f>
        <v>Certificado da NR18 — Colaborador</v>
      </c>
      <c r="F218" s="6"/>
      <c r="G218" s="17" t="n">
        <v>46528</v>
      </c>
      <c r="H218" s="12" t="str">
        <f aca="true">IF(G218="","N/A",IF(G218&lt;TODAY(),"VENCIDO",IF(G218&lt;=TODAY()+30,"VENCENDO","VALIDO")))</f>
        <v>VALIDO</v>
      </c>
      <c r="I218" s="6"/>
      <c r="J218" s="6"/>
    </row>
    <row r="219" customFormat="false" ht="15" hidden="false" customHeight="false" outlineLevel="0" collapsed="false">
      <c r="A219" s="6" t="s">
        <v>904</v>
      </c>
      <c r="B219" s="6" t="s">
        <v>285</v>
      </c>
      <c r="C219" s="12" t="str">
        <f aca="false">IFERROR(INDEX(Colaboradores!$E:$E,MATCH(B219,Colaboradores!$A:$A,0)),"")</f>
        <v>RICARDO MANOEL INACIO</v>
      </c>
      <c r="D219" s="6" t="s">
        <v>565</v>
      </c>
      <c r="E219" s="12" t="str">
        <f aca="false">IFERROR(INDEX(Doc_Catalogo!$B:$B,MATCH(D219,Doc_Catalogo!$A:$A,0)),"")</f>
        <v>Certificado da NR35 — Colaborador</v>
      </c>
      <c r="F219" s="6"/>
      <c r="G219" s="17" t="n">
        <v>46528</v>
      </c>
      <c r="H219" s="12" t="str">
        <f aca="true">IF(G219="","N/A",IF(G219&lt;TODAY(),"VENCIDO",IF(G219&lt;=TODAY()+30,"VENCENDO","VALIDO")))</f>
        <v>VALIDO</v>
      </c>
      <c r="I219" s="6"/>
      <c r="J219" s="6"/>
    </row>
    <row r="220" customFormat="false" ht="15" hidden="false" customHeight="false" outlineLevel="0" collapsed="false">
      <c r="A220" s="7" t="s">
        <v>905</v>
      </c>
      <c r="B220" s="7" t="s">
        <v>285</v>
      </c>
      <c r="C220" s="16" t="str">
        <f aca="false">IFERROR(INDEX(Colaboradores!$E:$E,MATCH(B220,Colaboradores!$A:$A,0)),"")</f>
        <v>RICARDO MANOEL INACIO</v>
      </c>
      <c r="D220" s="7" t="s">
        <v>577</v>
      </c>
      <c r="E220" s="16" t="str">
        <f aca="false">IFERROR(INDEX(Doc_Catalogo!$B:$B,MATCH(D220,Doc_Catalogo!$A:$A,0)),"")</f>
        <v>Contrato de Trabalho</v>
      </c>
      <c r="F220" s="7"/>
      <c r="G220" s="13"/>
      <c r="H220" s="16" t="str">
        <f aca="true">IF(G220="","N/A",IF(G220&lt;TODAY(),"VENCIDO",IF(G220&lt;=TODAY()+30,"VENCENDO","VALIDO")))</f>
        <v>N/A</v>
      </c>
      <c r="I220" s="7"/>
      <c r="J220" s="7" t="s">
        <v>686</v>
      </c>
    </row>
    <row r="221" customFormat="false" ht="15" hidden="false" customHeight="false" outlineLevel="0" collapsed="false">
      <c r="A221" s="7" t="s">
        <v>906</v>
      </c>
      <c r="B221" s="7" t="s">
        <v>285</v>
      </c>
      <c r="C221" s="16" t="str">
        <f aca="false">IFERROR(INDEX(Colaboradores!$E:$E,MATCH(B221,Colaboradores!$A:$A,0)),"")</f>
        <v>RICARDO MANOEL INACIO</v>
      </c>
      <c r="D221" s="7" t="s">
        <v>586</v>
      </c>
      <c r="E221" s="16" t="str">
        <f aca="false">IFERROR(INDEX(Doc_Catalogo!$B:$B,MATCH(D221,Doc_Catalogo!$A:$A,0)),"")</f>
        <v>Ordem de Servico</v>
      </c>
      <c r="F221" s="7"/>
      <c r="G221" s="13"/>
      <c r="H221" s="16" t="str">
        <f aca="true">IF(G221="","N/A",IF(G221&lt;TODAY(),"VENCIDO",IF(G221&lt;=TODAY()+30,"VENCENDO","VALIDO")))</f>
        <v>N/A</v>
      </c>
      <c r="I221" s="7"/>
      <c r="J221" s="7" t="s">
        <v>686</v>
      </c>
    </row>
    <row r="222" customFormat="false" ht="15" hidden="false" customHeight="false" outlineLevel="0" collapsed="false">
      <c r="A222" s="7" t="s">
        <v>907</v>
      </c>
      <c r="B222" s="7" t="s">
        <v>341</v>
      </c>
      <c r="C222" s="16" t="str">
        <f aca="false">IFERROR(INDEX(Colaboradores!$E:$E,MATCH(B222,Colaboradores!$A:$A,0)),"")</f>
        <v>DINHO</v>
      </c>
      <c r="D222" s="7" t="s">
        <v>577</v>
      </c>
      <c r="E222" s="16" t="str">
        <f aca="false">IFERROR(INDEX(Doc_Catalogo!$B:$B,MATCH(D222,Doc_Catalogo!$A:$A,0)),"")</f>
        <v>Contrato de Trabalho</v>
      </c>
      <c r="F222" s="7"/>
      <c r="G222" s="13"/>
      <c r="H222" s="16" t="str">
        <f aca="true">IF(G222="","N/A",IF(G222&lt;TODAY(),"VENCIDO",IF(G222&lt;=TODAY()+30,"VENCENDO","VALIDO")))</f>
        <v>N/A</v>
      </c>
      <c r="I222" s="7"/>
      <c r="J222" s="7" t="s">
        <v>686</v>
      </c>
    </row>
    <row r="223" customFormat="false" ht="15" hidden="false" customHeight="false" outlineLevel="0" collapsed="false">
      <c r="A223" s="6" t="s">
        <v>908</v>
      </c>
      <c r="B223" s="6" t="s">
        <v>344</v>
      </c>
      <c r="C223" s="12" t="str">
        <f aca="false">IFERROR(INDEX(Colaboradores!$E:$E,MATCH(B223,Colaboradores!$A:$A,0)),"")</f>
        <v>PAULO SILVA</v>
      </c>
      <c r="D223" s="6" t="s">
        <v>501</v>
      </c>
      <c r="E223" s="12" t="str">
        <f aca="false">IFERROR(INDEX(Doc_Catalogo!$B:$B,MATCH(D223,Doc_Catalogo!$A:$A,0)),"")</f>
        <v>ASO</v>
      </c>
      <c r="F223" s="6"/>
      <c r="G223" s="17" t="n">
        <v>46587</v>
      </c>
      <c r="H223" s="12" t="str">
        <f aca="true">IF(G223="","N/A",IF(G223&lt;TODAY(),"VENCIDO",IF(G223&lt;=TODAY()+30,"VENCENDO","VALIDO")))</f>
        <v>VALIDO</v>
      </c>
      <c r="I223" s="6"/>
      <c r="J223" s="6"/>
    </row>
    <row r="224" customFormat="false" ht="15" hidden="false" customHeight="false" outlineLevel="0" collapsed="false">
      <c r="A224" s="6" t="s">
        <v>909</v>
      </c>
      <c r="B224" s="6" t="s">
        <v>344</v>
      </c>
      <c r="C224" s="12" t="str">
        <f aca="false">IFERROR(INDEX(Colaboradores!$E:$E,MATCH(B224,Colaboradores!$A:$A,0)),"")</f>
        <v>PAULO SILVA</v>
      </c>
      <c r="D224" s="6" t="s">
        <v>519</v>
      </c>
      <c r="E224" s="12" t="str">
        <f aca="false">IFERROR(INDEX(Doc_Catalogo!$B:$B,MATCH(D224,Doc_Catalogo!$A:$A,0)),"")</f>
        <v>Certificado da NR06 — Colaborador</v>
      </c>
      <c r="F224" s="6"/>
      <c r="G224" s="17" t="n">
        <v>46831</v>
      </c>
      <c r="H224" s="12" t="str">
        <f aca="true">IF(G224="","N/A",IF(G224&lt;TODAY(),"VENCIDO",IF(G224&lt;=TODAY()+30,"VENCENDO","VALIDO")))</f>
        <v>VALIDO</v>
      </c>
      <c r="I224" s="6"/>
      <c r="J224" s="6"/>
    </row>
    <row r="225" customFormat="false" ht="15" hidden="false" customHeight="false" outlineLevel="0" collapsed="false">
      <c r="A225" s="6" t="s">
        <v>910</v>
      </c>
      <c r="B225" s="6" t="s">
        <v>344</v>
      </c>
      <c r="C225" s="12" t="str">
        <f aca="false">IFERROR(INDEX(Colaboradores!$E:$E,MATCH(B225,Colaboradores!$A:$A,0)),"")</f>
        <v>PAULO SILVA</v>
      </c>
      <c r="D225" s="6" t="s">
        <v>524</v>
      </c>
      <c r="E225" s="12" t="str">
        <f aca="false">IFERROR(INDEX(Doc_Catalogo!$B:$B,MATCH(D225,Doc_Catalogo!$A:$A,0)),"")</f>
        <v>Certificado da NR10 — Colaborador</v>
      </c>
      <c r="F225" s="6"/>
      <c r="G225" s="17" t="n">
        <v>46785</v>
      </c>
      <c r="H225" s="12" t="str">
        <f aca="true">IF(G225="","N/A",IF(G225&lt;TODAY(),"VENCIDO",IF(G225&lt;=TODAY()+30,"VENCENDO","VALIDO")))</f>
        <v>VALIDO</v>
      </c>
      <c r="I225" s="6"/>
      <c r="J225" s="6"/>
    </row>
    <row r="226" customFormat="false" ht="15" hidden="false" customHeight="false" outlineLevel="0" collapsed="false">
      <c r="A226" s="6" t="s">
        <v>911</v>
      </c>
      <c r="B226" s="6" t="s">
        <v>344</v>
      </c>
      <c r="C226" s="12" t="str">
        <f aca="false">IFERROR(INDEX(Colaboradores!$E:$E,MATCH(B226,Colaboradores!$A:$A,0)),"")</f>
        <v>PAULO SILVA</v>
      </c>
      <c r="D226" s="6" t="s">
        <v>537</v>
      </c>
      <c r="E226" s="12" t="str">
        <f aca="false">IFERROR(INDEX(Doc_Catalogo!$B:$B,MATCH(D226,Doc_Catalogo!$A:$A,0)),"")</f>
        <v>Certificado da NR12 — Colaborador</v>
      </c>
      <c r="F226" s="6"/>
      <c r="G226" s="17" t="n">
        <v>46834</v>
      </c>
      <c r="H226" s="12" t="str">
        <f aca="true">IF(G226="","N/A",IF(G226&lt;TODAY(),"VENCIDO",IF(G226&lt;=TODAY()+30,"VENCENDO","VALIDO")))</f>
        <v>VALIDO</v>
      </c>
      <c r="I226" s="6"/>
      <c r="J226" s="6"/>
    </row>
    <row r="227" customFormat="false" ht="15" hidden="false" customHeight="false" outlineLevel="0" collapsed="false">
      <c r="A227" s="6" t="s">
        <v>912</v>
      </c>
      <c r="B227" s="6" t="s">
        <v>344</v>
      </c>
      <c r="C227" s="12" t="str">
        <f aca="false">IFERROR(INDEX(Colaboradores!$E:$E,MATCH(B227,Colaboradores!$A:$A,0)),"")</f>
        <v>PAULO SILVA</v>
      </c>
      <c r="D227" s="6" t="s">
        <v>549</v>
      </c>
      <c r="E227" s="12" t="str">
        <f aca="false">IFERROR(INDEX(Doc_Catalogo!$B:$B,MATCH(D227,Doc_Catalogo!$A:$A,0)),"")</f>
        <v>Certificado da NR18 — Colaborador</v>
      </c>
      <c r="F227" s="6"/>
      <c r="G227" s="17" t="n">
        <v>46844</v>
      </c>
      <c r="H227" s="12" t="str">
        <f aca="true">IF(G227="","N/A",IF(G227&lt;TODAY(),"VENCIDO",IF(G227&lt;=TODAY()+30,"VENCENDO","VALIDO")))</f>
        <v>VALIDO</v>
      </c>
      <c r="I227" s="6"/>
      <c r="J227" s="6"/>
    </row>
    <row r="228" customFormat="false" ht="15" hidden="false" customHeight="false" outlineLevel="0" collapsed="false">
      <c r="A228" s="6" t="s">
        <v>913</v>
      </c>
      <c r="B228" s="6" t="s">
        <v>344</v>
      </c>
      <c r="C228" s="12" t="str">
        <f aca="false">IFERROR(INDEX(Colaboradores!$E:$E,MATCH(B228,Colaboradores!$A:$A,0)),"")</f>
        <v>PAULO SILVA</v>
      </c>
      <c r="D228" s="6" t="s">
        <v>561</v>
      </c>
      <c r="E228" s="12" t="str">
        <f aca="false">IFERROR(INDEX(Doc_Catalogo!$B:$B,MATCH(D228,Doc_Catalogo!$A:$A,0)),"")</f>
        <v>Certificado da NR34 — Colaborador</v>
      </c>
      <c r="F228" s="6"/>
      <c r="G228" s="17" t="n">
        <v>46844</v>
      </c>
      <c r="H228" s="12" t="str">
        <f aca="true">IF(G228="","N/A",IF(G228&lt;TODAY(),"VENCIDO",IF(G228&lt;=TODAY()+30,"VENCENDO","VALIDO")))</f>
        <v>VALIDO</v>
      </c>
      <c r="I228" s="6"/>
      <c r="J228" s="6"/>
    </row>
    <row r="229" customFormat="false" ht="15" hidden="false" customHeight="false" outlineLevel="0" collapsed="false">
      <c r="A229" s="6" t="s">
        <v>914</v>
      </c>
      <c r="B229" s="6" t="s">
        <v>344</v>
      </c>
      <c r="C229" s="12" t="str">
        <f aca="false">IFERROR(INDEX(Colaboradores!$E:$E,MATCH(B229,Colaboradores!$A:$A,0)),"")</f>
        <v>PAULO SILVA</v>
      </c>
      <c r="D229" s="6" t="s">
        <v>565</v>
      </c>
      <c r="E229" s="12" t="str">
        <f aca="false">IFERROR(INDEX(Doc_Catalogo!$B:$B,MATCH(D229,Doc_Catalogo!$A:$A,0)),"")</f>
        <v>Certificado da NR35 — Colaborador</v>
      </c>
      <c r="F229" s="6"/>
      <c r="G229" s="17" t="n">
        <v>46866</v>
      </c>
      <c r="H229" s="12" t="str">
        <f aca="true">IF(G229="","N/A",IF(G229&lt;TODAY(),"VENCIDO",IF(G229&lt;=TODAY()+30,"VENCENDO","VALIDO")))</f>
        <v>VALIDO</v>
      </c>
      <c r="I229" s="6"/>
      <c r="J229" s="6"/>
    </row>
    <row r="230" customFormat="false" ht="15" hidden="false" customHeight="false" outlineLevel="0" collapsed="false">
      <c r="A230" s="7" t="s">
        <v>915</v>
      </c>
      <c r="B230" s="7" t="s">
        <v>344</v>
      </c>
      <c r="C230" s="16" t="str">
        <f aca="false">IFERROR(INDEX(Colaboradores!$E:$E,MATCH(B230,Colaboradores!$A:$A,0)),"")</f>
        <v>PAULO SILVA</v>
      </c>
      <c r="D230" s="7" t="s">
        <v>586</v>
      </c>
      <c r="E230" s="16" t="str">
        <f aca="false">IFERROR(INDEX(Doc_Catalogo!$B:$B,MATCH(D230,Doc_Catalogo!$A:$A,0)),"")</f>
        <v>Ordem de Servico</v>
      </c>
      <c r="F230" s="7"/>
      <c r="G230" s="13"/>
      <c r="H230" s="16" t="str">
        <f aca="true">IF(G230="","N/A",IF(G230&lt;TODAY(),"VENCIDO",IF(G230&lt;=TODAY()+30,"VENCENDO","VALIDO")))</f>
        <v>N/A</v>
      </c>
      <c r="I230" s="7"/>
      <c r="J230" s="7" t="s">
        <v>686</v>
      </c>
    </row>
    <row r="231" customFormat="false" ht="15" hidden="false" customHeight="false" outlineLevel="0" collapsed="false">
      <c r="A231" s="6" t="s">
        <v>916</v>
      </c>
      <c r="B231" s="6" t="s">
        <v>347</v>
      </c>
      <c r="C231" s="12" t="str">
        <f aca="false">IFERROR(INDEX(Colaboradores!$E:$E,MATCH(B231,Colaboradores!$A:$A,0)),"")</f>
        <v>DENILSON ABREU</v>
      </c>
      <c r="D231" s="6" t="s">
        <v>519</v>
      </c>
      <c r="E231" s="12" t="str">
        <f aca="false">IFERROR(INDEX(Doc_Catalogo!$B:$B,MATCH(D231,Doc_Catalogo!$A:$A,0)),"")</f>
        <v>Certificado da NR06 — Colaborador</v>
      </c>
      <c r="F231" s="6"/>
      <c r="G231" s="17" t="n">
        <v>46831</v>
      </c>
      <c r="H231" s="12" t="str">
        <f aca="true">IF(G231="","N/A",IF(G231&lt;TODAY(),"VENCIDO",IF(G231&lt;=TODAY()+30,"VENCENDO","VALIDO")))</f>
        <v>VALIDO</v>
      </c>
      <c r="I231" s="6"/>
      <c r="J231" s="6"/>
    </row>
    <row r="232" customFormat="false" ht="15" hidden="false" customHeight="false" outlineLevel="0" collapsed="false">
      <c r="A232" s="6" t="s">
        <v>917</v>
      </c>
      <c r="B232" s="6" t="s">
        <v>347</v>
      </c>
      <c r="C232" s="12" t="str">
        <f aca="false">IFERROR(INDEX(Colaboradores!$E:$E,MATCH(B232,Colaboradores!$A:$A,0)),"")</f>
        <v>DENILSON ABREU</v>
      </c>
      <c r="D232" s="6" t="s">
        <v>524</v>
      </c>
      <c r="E232" s="12" t="str">
        <f aca="false">IFERROR(INDEX(Doc_Catalogo!$B:$B,MATCH(D232,Doc_Catalogo!$A:$A,0)),"")</f>
        <v>Certificado da NR10 — Colaborador</v>
      </c>
      <c r="F232" s="6"/>
      <c r="G232" s="17" t="n">
        <v>46785</v>
      </c>
      <c r="H232" s="12" t="str">
        <f aca="true">IF(G232="","N/A",IF(G232&lt;TODAY(),"VENCIDO",IF(G232&lt;=TODAY()+30,"VENCENDO","VALIDO")))</f>
        <v>VALIDO</v>
      </c>
      <c r="I232" s="6"/>
      <c r="J232" s="6"/>
    </row>
    <row r="233" customFormat="false" ht="15" hidden="false" customHeight="false" outlineLevel="0" collapsed="false">
      <c r="A233" s="6" t="s">
        <v>918</v>
      </c>
      <c r="B233" s="6" t="s">
        <v>347</v>
      </c>
      <c r="C233" s="12" t="str">
        <f aca="false">IFERROR(INDEX(Colaboradores!$E:$E,MATCH(B233,Colaboradores!$A:$A,0)),"")</f>
        <v>DENILSON ABREU</v>
      </c>
      <c r="D233" s="6" t="s">
        <v>537</v>
      </c>
      <c r="E233" s="12" t="str">
        <f aca="false">IFERROR(INDEX(Doc_Catalogo!$B:$B,MATCH(D233,Doc_Catalogo!$A:$A,0)),"")</f>
        <v>Certificado da NR12 — Colaborador</v>
      </c>
      <c r="F233" s="6"/>
      <c r="G233" s="17" t="n">
        <v>46834</v>
      </c>
      <c r="H233" s="12" t="str">
        <f aca="true">IF(G233="","N/A",IF(G233&lt;TODAY(),"VENCIDO",IF(G233&lt;=TODAY()+30,"VENCENDO","VALIDO")))</f>
        <v>VALIDO</v>
      </c>
      <c r="I233" s="6"/>
      <c r="J233" s="6"/>
    </row>
    <row r="234" customFormat="false" ht="15" hidden="false" customHeight="false" outlineLevel="0" collapsed="false">
      <c r="A234" s="6" t="s">
        <v>919</v>
      </c>
      <c r="B234" s="6" t="s">
        <v>347</v>
      </c>
      <c r="C234" s="12" t="str">
        <f aca="false">IFERROR(INDEX(Colaboradores!$E:$E,MATCH(B234,Colaboradores!$A:$A,0)),"")</f>
        <v>DENILSON ABREU</v>
      </c>
      <c r="D234" s="6" t="s">
        <v>549</v>
      </c>
      <c r="E234" s="12" t="str">
        <f aca="false">IFERROR(INDEX(Doc_Catalogo!$B:$B,MATCH(D234,Doc_Catalogo!$A:$A,0)),"")</f>
        <v>Certificado da NR18 — Colaborador</v>
      </c>
      <c r="F234" s="6"/>
      <c r="G234" s="17" t="n">
        <v>46844</v>
      </c>
      <c r="H234" s="12" t="str">
        <f aca="true">IF(G234="","N/A",IF(G234&lt;TODAY(),"VENCIDO",IF(G234&lt;=TODAY()+30,"VENCENDO","VALIDO")))</f>
        <v>VALIDO</v>
      </c>
      <c r="I234" s="6"/>
      <c r="J234" s="6"/>
    </row>
    <row r="235" customFormat="false" ht="15" hidden="false" customHeight="false" outlineLevel="0" collapsed="false">
      <c r="A235" s="6" t="s">
        <v>920</v>
      </c>
      <c r="B235" s="6" t="s">
        <v>347</v>
      </c>
      <c r="C235" s="12" t="str">
        <f aca="false">IFERROR(INDEX(Colaboradores!$E:$E,MATCH(B235,Colaboradores!$A:$A,0)),"")</f>
        <v>DENILSON ABREU</v>
      </c>
      <c r="D235" s="6" t="s">
        <v>561</v>
      </c>
      <c r="E235" s="12" t="str">
        <f aca="false">IFERROR(INDEX(Doc_Catalogo!$B:$B,MATCH(D235,Doc_Catalogo!$A:$A,0)),"")</f>
        <v>Certificado da NR34 — Colaborador</v>
      </c>
      <c r="F235" s="6"/>
      <c r="G235" s="17" t="n">
        <v>46844</v>
      </c>
      <c r="H235" s="12" t="str">
        <f aca="true">IF(G235="","N/A",IF(G235&lt;TODAY(),"VENCIDO",IF(G235&lt;=TODAY()+30,"VENCENDO","VALIDO")))</f>
        <v>VALIDO</v>
      </c>
      <c r="I235" s="6"/>
      <c r="J235" s="6"/>
    </row>
    <row r="236" customFormat="false" ht="15" hidden="false" customHeight="false" outlineLevel="0" collapsed="false">
      <c r="A236" s="6" t="s">
        <v>921</v>
      </c>
      <c r="B236" s="6" t="s">
        <v>347</v>
      </c>
      <c r="C236" s="12" t="str">
        <f aca="false">IFERROR(INDEX(Colaboradores!$E:$E,MATCH(B236,Colaboradores!$A:$A,0)),"")</f>
        <v>DENILSON ABREU</v>
      </c>
      <c r="D236" s="6" t="s">
        <v>565</v>
      </c>
      <c r="E236" s="12" t="str">
        <f aca="false">IFERROR(INDEX(Doc_Catalogo!$B:$B,MATCH(D236,Doc_Catalogo!$A:$A,0)),"")</f>
        <v>Certificado da NR35 — Colaborador</v>
      </c>
      <c r="F236" s="6"/>
      <c r="G236" s="17" t="n">
        <v>46866</v>
      </c>
      <c r="H236" s="12" t="str">
        <f aca="true">IF(G236="","N/A",IF(G236&lt;TODAY(),"VENCIDO",IF(G236&lt;=TODAY()+30,"VENCENDO","VALIDO")))</f>
        <v>VALIDO</v>
      </c>
      <c r="I236" s="6"/>
      <c r="J236" s="6"/>
    </row>
    <row r="237" customFormat="false" ht="15" hidden="false" customHeight="false" outlineLevel="0" collapsed="false">
      <c r="A237" s="6" t="s">
        <v>922</v>
      </c>
      <c r="B237" s="6" t="s">
        <v>350</v>
      </c>
      <c r="C237" s="12" t="str">
        <f aca="false">IFERROR(INDEX(Colaboradores!$E:$E,MATCH(B237,Colaboradores!$A:$A,0)),"")</f>
        <v>JOSUE SANTOS</v>
      </c>
      <c r="D237" s="6" t="s">
        <v>519</v>
      </c>
      <c r="E237" s="12" t="str">
        <f aca="false">IFERROR(INDEX(Doc_Catalogo!$B:$B,MATCH(D237,Doc_Catalogo!$A:$A,0)),"")</f>
        <v>Certificado da NR06 — Colaborador</v>
      </c>
      <c r="F237" s="6"/>
      <c r="G237" s="17" t="n">
        <v>46831</v>
      </c>
      <c r="H237" s="12" t="str">
        <f aca="true">IF(G237="","N/A",IF(G237&lt;TODAY(),"VENCIDO",IF(G237&lt;=TODAY()+30,"VENCENDO","VALIDO")))</f>
        <v>VALIDO</v>
      </c>
      <c r="I237" s="6"/>
      <c r="J237" s="6"/>
    </row>
    <row r="238" customFormat="false" ht="15" hidden="false" customHeight="false" outlineLevel="0" collapsed="false">
      <c r="A238" s="6" t="s">
        <v>923</v>
      </c>
      <c r="B238" s="6" t="s">
        <v>350</v>
      </c>
      <c r="C238" s="12" t="str">
        <f aca="false">IFERROR(INDEX(Colaboradores!$E:$E,MATCH(B238,Colaboradores!$A:$A,0)),"")</f>
        <v>JOSUE SANTOS</v>
      </c>
      <c r="D238" s="6" t="s">
        <v>524</v>
      </c>
      <c r="E238" s="12" t="str">
        <f aca="false">IFERROR(INDEX(Doc_Catalogo!$B:$B,MATCH(D238,Doc_Catalogo!$A:$A,0)),"")</f>
        <v>Certificado da NR10 — Colaborador</v>
      </c>
      <c r="F238" s="6"/>
      <c r="G238" s="17" t="n">
        <v>46785</v>
      </c>
      <c r="H238" s="12" t="str">
        <f aca="true">IF(G238="","N/A",IF(G238&lt;TODAY(),"VENCIDO",IF(G238&lt;=TODAY()+30,"VENCENDO","VALIDO")))</f>
        <v>VALIDO</v>
      </c>
      <c r="I238" s="6"/>
      <c r="J238" s="6"/>
    </row>
    <row r="239" customFormat="false" ht="15" hidden="false" customHeight="false" outlineLevel="0" collapsed="false">
      <c r="A239" s="6" t="s">
        <v>924</v>
      </c>
      <c r="B239" s="6" t="s">
        <v>350</v>
      </c>
      <c r="C239" s="12" t="str">
        <f aca="false">IFERROR(INDEX(Colaboradores!$E:$E,MATCH(B239,Colaboradores!$A:$A,0)),"")</f>
        <v>JOSUE SANTOS</v>
      </c>
      <c r="D239" s="6" t="s">
        <v>537</v>
      </c>
      <c r="E239" s="12" t="str">
        <f aca="false">IFERROR(INDEX(Doc_Catalogo!$B:$B,MATCH(D239,Doc_Catalogo!$A:$A,0)),"")</f>
        <v>Certificado da NR12 — Colaborador</v>
      </c>
      <c r="F239" s="6"/>
      <c r="G239" s="17" t="n">
        <v>46785</v>
      </c>
      <c r="H239" s="12" t="str">
        <f aca="true">IF(G239="","N/A",IF(G239&lt;TODAY(),"VENCIDO",IF(G239&lt;=TODAY()+30,"VENCENDO","VALIDO")))</f>
        <v>VALIDO</v>
      </c>
      <c r="I239" s="6"/>
      <c r="J239" s="6"/>
    </row>
    <row r="240" customFormat="false" ht="15" hidden="false" customHeight="false" outlineLevel="0" collapsed="false">
      <c r="A240" s="6" t="s">
        <v>925</v>
      </c>
      <c r="B240" s="6" t="s">
        <v>350</v>
      </c>
      <c r="C240" s="12" t="str">
        <f aca="false">IFERROR(INDEX(Colaboradores!$E:$E,MATCH(B240,Colaboradores!$A:$A,0)),"")</f>
        <v>JOSUE SANTOS</v>
      </c>
      <c r="D240" s="6" t="s">
        <v>549</v>
      </c>
      <c r="E240" s="12" t="str">
        <f aca="false">IFERROR(INDEX(Doc_Catalogo!$B:$B,MATCH(D240,Doc_Catalogo!$A:$A,0)),"")</f>
        <v>Certificado da NR18 — Colaborador</v>
      </c>
      <c r="F240" s="6"/>
      <c r="G240" s="17" t="n">
        <v>46844</v>
      </c>
      <c r="H240" s="12" t="str">
        <f aca="true">IF(G240="","N/A",IF(G240&lt;TODAY(),"VENCIDO",IF(G240&lt;=TODAY()+30,"VENCENDO","VALIDO")))</f>
        <v>VALIDO</v>
      </c>
      <c r="I240" s="6"/>
      <c r="J240" s="6"/>
    </row>
    <row r="241" customFormat="false" ht="15" hidden="false" customHeight="false" outlineLevel="0" collapsed="false">
      <c r="A241" s="6" t="s">
        <v>926</v>
      </c>
      <c r="B241" s="6" t="s">
        <v>350</v>
      </c>
      <c r="C241" s="12" t="str">
        <f aca="false">IFERROR(INDEX(Colaboradores!$E:$E,MATCH(B241,Colaboradores!$A:$A,0)),"")</f>
        <v>JOSUE SANTOS</v>
      </c>
      <c r="D241" s="6" t="s">
        <v>561</v>
      </c>
      <c r="E241" s="12" t="str">
        <f aca="false">IFERROR(INDEX(Doc_Catalogo!$B:$B,MATCH(D241,Doc_Catalogo!$A:$A,0)),"")</f>
        <v>Certificado da NR34 — Colaborador</v>
      </c>
      <c r="F241" s="6"/>
      <c r="G241" s="17" t="n">
        <v>46844</v>
      </c>
      <c r="H241" s="12" t="str">
        <f aca="true">IF(G241="","N/A",IF(G241&lt;TODAY(),"VENCIDO",IF(G241&lt;=TODAY()+30,"VENCENDO","VALIDO")))</f>
        <v>VALIDO</v>
      </c>
      <c r="I241" s="6"/>
      <c r="J241" s="6"/>
    </row>
    <row r="242" customFormat="false" ht="15" hidden="false" customHeight="false" outlineLevel="0" collapsed="false">
      <c r="A242" s="6" t="s">
        <v>927</v>
      </c>
      <c r="B242" s="6" t="s">
        <v>350</v>
      </c>
      <c r="C242" s="12" t="str">
        <f aca="false">IFERROR(INDEX(Colaboradores!$E:$E,MATCH(B242,Colaboradores!$A:$A,0)),"")</f>
        <v>JOSUE SANTOS</v>
      </c>
      <c r="D242" s="6" t="s">
        <v>565</v>
      </c>
      <c r="E242" s="12" t="str">
        <f aca="false">IFERROR(INDEX(Doc_Catalogo!$B:$B,MATCH(D242,Doc_Catalogo!$A:$A,0)),"")</f>
        <v>Certificado da NR35 — Colaborador</v>
      </c>
      <c r="F242" s="6"/>
      <c r="G242" s="17" t="n">
        <v>46866</v>
      </c>
      <c r="H242" s="12" t="str">
        <f aca="true">IF(G242="","N/A",IF(G242&lt;TODAY(),"VENCIDO",IF(G242&lt;=TODAY()+30,"VENCENDO","VALIDO")))</f>
        <v>VALIDO</v>
      </c>
      <c r="I242" s="6"/>
      <c r="J242" s="6"/>
    </row>
    <row r="243" customFormat="false" ht="15" hidden="false" customHeight="false" outlineLevel="0" collapsed="false">
      <c r="A243" s="6" t="s">
        <v>928</v>
      </c>
      <c r="B243" s="6" t="s">
        <v>353</v>
      </c>
      <c r="C243" s="12" t="str">
        <f aca="false">IFERROR(INDEX(Colaboradores!$E:$E,MATCH(B243,Colaboradores!$A:$A,0)),"")</f>
        <v>MARCELO SANTOS</v>
      </c>
      <c r="D243" s="6" t="s">
        <v>519</v>
      </c>
      <c r="E243" s="12" t="str">
        <f aca="false">IFERROR(INDEX(Doc_Catalogo!$B:$B,MATCH(D243,Doc_Catalogo!$A:$A,0)),"")</f>
        <v>Certificado da NR06 — Colaborador</v>
      </c>
      <c r="F243" s="6"/>
      <c r="G243" s="17" t="n">
        <v>46831</v>
      </c>
      <c r="H243" s="12" t="str">
        <f aca="true">IF(G243="","N/A",IF(G243&lt;TODAY(),"VENCIDO",IF(G243&lt;=TODAY()+30,"VENCENDO","VALIDO")))</f>
        <v>VALIDO</v>
      </c>
      <c r="I243" s="6"/>
      <c r="J243" s="6"/>
    </row>
    <row r="244" customFormat="false" ht="15" hidden="false" customHeight="false" outlineLevel="0" collapsed="false">
      <c r="A244" s="6" t="s">
        <v>929</v>
      </c>
      <c r="B244" s="6" t="s">
        <v>353</v>
      </c>
      <c r="C244" s="12" t="str">
        <f aca="false">IFERROR(INDEX(Colaboradores!$E:$E,MATCH(B244,Colaboradores!$A:$A,0)),"")</f>
        <v>MARCELO SANTOS</v>
      </c>
      <c r="D244" s="6" t="s">
        <v>524</v>
      </c>
      <c r="E244" s="12" t="str">
        <f aca="false">IFERROR(INDEX(Doc_Catalogo!$B:$B,MATCH(D244,Doc_Catalogo!$A:$A,0)),"")</f>
        <v>Certificado da NR10 — Colaborador</v>
      </c>
      <c r="F244" s="6"/>
      <c r="G244" s="17" t="n">
        <v>46785</v>
      </c>
      <c r="H244" s="12" t="str">
        <f aca="true">IF(G244="","N/A",IF(G244&lt;TODAY(),"VENCIDO",IF(G244&lt;=TODAY()+30,"VENCENDO","VALIDO")))</f>
        <v>VALIDO</v>
      </c>
      <c r="I244" s="6"/>
      <c r="J244" s="6"/>
    </row>
    <row r="245" customFormat="false" ht="15" hidden="false" customHeight="false" outlineLevel="0" collapsed="false">
      <c r="A245" s="6" t="s">
        <v>930</v>
      </c>
      <c r="B245" s="6" t="s">
        <v>353</v>
      </c>
      <c r="C245" s="12" t="str">
        <f aca="false">IFERROR(INDEX(Colaboradores!$E:$E,MATCH(B245,Colaboradores!$A:$A,0)),"")</f>
        <v>MARCELO SANTOS</v>
      </c>
      <c r="D245" s="6" t="s">
        <v>537</v>
      </c>
      <c r="E245" s="12" t="str">
        <f aca="false">IFERROR(INDEX(Doc_Catalogo!$B:$B,MATCH(D245,Doc_Catalogo!$A:$A,0)),"")</f>
        <v>Certificado da NR12 — Colaborador</v>
      </c>
      <c r="F245" s="6"/>
      <c r="G245" s="17" t="n">
        <v>46785</v>
      </c>
      <c r="H245" s="12" t="str">
        <f aca="true">IF(G245="","N/A",IF(G245&lt;TODAY(),"VENCIDO",IF(G245&lt;=TODAY()+30,"VENCENDO","VALIDO")))</f>
        <v>VALIDO</v>
      </c>
      <c r="I245" s="6"/>
      <c r="J245" s="6"/>
    </row>
    <row r="246" customFormat="false" ht="15" hidden="false" customHeight="false" outlineLevel="0" collapsed="false">
      <c r="A246" s="6" t="s">
        <v>931</v>
      </c>
      <c r="B246" s="6" t="s">
        <v>353</v>
      </c>
      <c r="C246" s="12" t="str">
        <f aca="false">IFERROR(INDEX(Colaboradores!$E:$E,MATCH(B246,Colaboradores!$A:$A,0)),"")</f>
        <v>MARCELO SANTOS</v>
      </c>
      <c r="D246" s="6" t="s">
        <v>549</v>
      </c>
      <c r="E246" s="12" t="str">
        <f aca="false">IFERROR(INDEX(Doc_Catalogo!$B:$B,MATCH(D246,Doc_Catalogo!$A:$A,0)),"")</f>
        <v>Certificado da NR18 — Colaborador</v>
      </c>
      <c r="F246" s="6"/>
      <c r="G246" s="17" t="n">
        <v>46844</v>
      </c>
      <c r="H246" s="12" t="str">
        <f aca="true">IF(G246="","N/A",IF(G246&lt;TODAY(),"VENCIDO",IF(G246&lt;=TODAY()+30,"VENCENDO","VALIDO")))</f>
        <v>VALIDO</v>
      </c>
      <c r="I246" s="6"/>
      <c r="J246" s="6"/>
    </row>
    <row r="247" customFormat="false" ht="15" hidden="false" customHeight="false" outlineLevel="0" collapsed="false">
      <c r="A247" s="6" t="s">
        <v>932</v>
      </c>
      <c r="B247" s="6" t="s">
        <v>353</v>
      </c>
      <c r="C247" s="12" t="str">
        <f aca="false">IFERROR(INDEX(Colaboradores!$E:$E,MATCH(B247,Colaboradores!$A:$A,0)),"")</f>
        <v>MARCELO SANTOS</v>
      </c>
      <c r="D247" s="6" t="s">
        <v>561</v>
      </c>
      <c r="E247" s="12" t="str">
        <f aca="false">IFERROR(INDEX(Doc_Catalogo!$B:$B,MATCH(D247,Doc_Catalogo!$A:$A,0)),"")</f>
        <v>Certificado da NR34 — Colaborador</v>
      </c>
      <c r="F247" s="6"/>
      <c r="G247" s="17" t="n">
        <v>46844</v>
      </c>
      <c r="H247" s="12" t="str">
        <f aca="true">IF(G247="","N/A",IF(G247&lt;TODAY(),"VENCIDO",IF(G247&lt;=TODAY()+30,"VENCENDO","VALIDO")))</f>
        <v>VALIDO</v>
      </c>
      <c r="I247" s="6"/>
      <c r="J247" s="6"/>
    </row>
    <row r="248" customFormat="false" ht="15" hidden="false" customHeight="false" outlineLevel="0" collapsed="false">
      <c r="A248" s="6" t="s">
        <v>933</v>
      </c>
      <c r="B248" s="6" t="s">
        <v>353</v>
      </c>
      <c r="C248" s="12" t="str">
        <f aca="false">IFERROR(INDEX(Colaboradores!$E:$E,MATCH(B248,Colaboradores!$A:$A,0)),"")</f>
        <v>MARCELO SANTOS</v>
      </c>
      <c r="D248" s="6" t="s">
        <v>565</v>
      </c>
      <c r="E248" s="12" t="str">
        <f aca="false">IFERROR(INDEX(Doc_Catalogo!$B:$B,MATCH(D248,Doc_Catalogo!$A:$A,0)),"")</f>
        <v>Certificado da NR35 — Colaborador</v>
      </c>
      <c r="F248" s="6"/>
      <c r="G248" s="17" t="n">
        <v>46866</v>
      </c>
      <c r="H248" s="12" t="str">
        <f aca="true">IF(G248="","N/A",IF(G248&lt;TODAY(),"VENCIDO",IF(G248&lt;=TODAY()+30,"VENCENDO","VALIDO")))</f>
        <v>VALIDO</v>
      </c>
      <c r="I248" s="6"/>
      <c r="J248" s="6"/>
    </row>
    <row r="249" customFormat="false" ht="15" hidden="false" customHeight="false" outlineLevel="0" collapsed="false">
      <c r="A249" s="6" t="s">
        <v>934</v>
      </c>
      <c r="B249" s="6" t="s">
        <v>288</v>
      </c>
      <c r="C249" s="12" t="str">
        <f aca="false">IFERROR(INDEX(Colaboradores!$E:$E,MATCH(B249,Colaboradores!$A:$A,0)),"")</f>
        <v>JOAO MARIA CANDIDO DE OLIVEIRA</v>
      </c>
      <c r="D249" s="6" t="s">
        <v>498</v>
      </c>
      <c r="E249" s="12" t="str">
        <f aca="false">IFERROR(INDEX(Doc_Catalogo!$B:$B,MATCH(D249,Doc_Catalogo!$A:$A,0)),"")</f>
        <v>CNH</v>
      </c>
      <c r="F249" s="6"/>
      <c r="G249" s="17" t="n">
        <v>46456</v>
      </c>
      <c r="H249" s="12" t="str">
        <f aca="true">IF(G249="","N/A",IF(G249&lt;TODAY(),"VENCIDO",IF(G249&lt;=TODAY()+30,"VENCENDO","VALIDO")))</f>
        <v>VALIDO</v>
      </c>
      <c r="I249" s="6"/>
      <c r="J249" s="6"/>
    </row>
    <row r="250" customFormat="false" ht="15" hidden="false" customHeight="false" outlineLevel="0" collapsed="false">
      <c r="A250" s="6" t="s">
        <v>935</v>
      </c>
      <c r="B250" s="6" t="s">
        <v>288</v>
      </c>
      <c r="C250" s="12" t="str">
        <f aca="false">IFERROR(INDEX(Colaboradores!$E:$E,MATCH(B250,Colaboradores!$A:$A,0)),"")</f>
        <v>JOAO MARIA CANDIDO DE OLIVEIRA</v>
      </c>
      <c r="D250" s="6" t="s">
        <v>519</v>
      </c>
      <c r="E250" s="12" t="str">
        <f aca="false">IFERROR(INDEX(Doc_Catalogo!$B:$B,MATCH(D250,Doc_Catalogo!$A:$A,0)),"")</f>
        <v>Certificado da NR06 — Colaborador</v>
      </c>
      <c r="F250" s="6"/>
      <c r="G250" s="17" t="n">
        <v>45097</v>
      </c>
      <c r="H250" s="12" t="str">
        <f aca="true">IF(G250="","N/A",IF(G250&lt;TODAY(),"VENCIDO",IF(G250&lt;=TODAY()+30,"VENCENDO","VALIDO")))</f>
        <v>VENCIDO</v>
      </c>
      <c r="I250" s="6"/>
      <c r="J250" s="6"/>
    </row>
    <row r="251" customFormat="false" ht="15" hidden="false" customHeight="false" outlineLevel="0" collapsed="false">
      <c r="A251" s="6" t="s">
        <v>936</v>
      </c>
      <c r="B251" s="6" t="s">
        <v>288</v>
      </c>
      <c r="C251" s="12" t="str">
        <f aca="false">IFERROR(INDEX(Colaboradores!$E:$E,MATCH(B251,Colaboradores!$A:$A,0)),"")</f>
        <v>JOAO MARIA CANDIDO DE OLIVEIRA</v>
      </c>
      <c r="D251" s="6" t="s">
        <v>524</v>
      </c>
      <c r="E251" s="12" t="str">
        <f aca="false">IFERROR(INDEX(Doc_Catalogo!$B:$B,MATCH(D251,Doc_Catalogo!$A:$A,0)),"")</f>
        <v>Certificado da NR10 — Colaborador</v>
      </c>
      <c r="F251" s="6"/>
      <c r="G251" s="17" t="n">
        <v>45464</v>
      </c>
      <c r="H251" s="12" t="str">
        <f aca="true">IF(G251="","N/A",IF(G251&lt;TODAY(),"VENCIDO",IF(G251&lt;=TODAY()+30,"VENCENDO","VALIDO")))</f>
        <v>VENCIDO</v>
      </c>
      <c r="I251" s="6"/>
      <c r="J251" s="6"/>
    </row>
    <row r="252" customFormat="false" ht="15" hidden="false" customHeight="false" outlineLevel="0" collapsed="false">
      <c r="A252" s="6" t="s">
        <v>937</v>
      </c>
      <c r="B252" s="6" t="s">
        <v>288</v>
      </c>
      <c r="C252" s="12" t="str">
        <f aca="false">IFERROR(INDEX(Colaboradores!$E:$E,MATCH(B252,Colaboradores!$A:$A,0)),"")</f>
        <v>JOAO MARIA CANDIDO DE OLIVEIRA</v>
      </c>
      <c r="D252" s="6" t="s">
        <v>549</v>
      </c>
      <c r="E252" s="12" t="str">
        <f aca="false">IFERROR(INDEX(Doc_Catalogo!$B:$B,MATCH(D252,Doc_Catalogo!$A:$A,0)),"")</f>
        <v>Certificado da NR18 — Colaborador</v>
      </c>
      <c r="F252" s="6"/>
      <c r="G252" s="17" t="n">
        <v>46225</v>
      </c>
      <c r="H252" s="12" t="str">
        <f aca="true">IF(G252="","N/A",IF(G252&lt;TODAY(),"VENCIDO",IF(G252&lt;=TODAY()+30,"VENCENDO","VALIDO")))</f>
        <v>VENCIDO</v>
      </c>
      <c r="I252" s="6"/>
      <c r="J252" s="6"/>
    </row>
    <row r="253" customFormat="false" ht="15" hidden="false" customHeight="false" outlineLevel="0" collapsed="false">
      <c r="A253" s="6" t="s">
        <v>938</v>
      </c>
      <c r="B253" s="6" t="s">
        <v>288</v>
      </c>
      <c r="C253" s="12" t="str">
        <f aca="false">IFERROR(INDEX(Colaboradores!$E:$E,MATCH(B253,Colaboradores!$A:$A,0)),"")</f>
        <v>JOAO MARIA CANDIDO DE OLIVEIRA</v>
      </c>
      <c r="D253" s="6" t="s">
        <v>561</v>
      </c>
      <c r="E253" s="12" t="str">
        <f aca="false">IFERROR(INDEX(Doc_Catalogo!$B:$B,MATCH(D253,Doc_Catalogo!$A:$A,0)),"")</f>
        <v>Certificado da NR34 — Colaborador</v>
      </c>
      <c r="F253" s="6"/>
      <c r="G253" s="17" t="n">
        <v>45937</v>
      </c>
      <c r="H253" s="12" t="str">
        <f aca="true">IF(G253="","N/A",IF(G253&lt;TODAY(),"VENCIDO",IF(G253&lt;=TODAY()+30,"VENCENDO","VALIDO")))</f>
        <v>VENCIDO</v>
      </c>
      <c r="I253" s="6"/>
      <c r="J253" s="6"/>
    </row>
    <row r="254" customFormat="false" ht="15" hidden="false" customHeight="false" outlineLevel="0" collapsed="false">
      <c r="A254" s="6" t="s">
        <v>939</v>
      </c>
      <c r="B254" s="6" t="s">
        <v>288</v>
      </c>
      <c r="C254" s="12" t="str">
        <f aca="false">IFERROR(INDEX(Colaboradores!$E:$E,MATCH(B254,Colaboradores!$A:$A,0)),"")</f>
        <v>JOAO MARIA CANDIDO DE OLIVEIRA</v>
      </c>
      <c r="D254" s="6" t="s">
        <v>565</v>
      </c>
      <c r="E254" s="12" t="str">
        <f aca="false">IFERROR(INDEX(Doc_Catalogo!$B:$B,MATCH(D254,Doc_Catalogo!$A:$A,0)),"")</f>
        <v>Certificado da NR35 — Colaborador</v>
      </c>
      <c r="F254" s="6"/>
      <c r="G254" s="17" t="n">
        <v>46768</v>
      </c>
      <c r="H254" s="12" t="str">
        <f aca="true">IF(G254="","N/A",IF(G254&lt;TODAY(),"VENCIDO",IF(G254&lt;=TODAY()+30,"VENCENDO","VALIDO")))</f>
        <v>VALIDO</v>
      </c>
      <c r="I254" s="6"/>
      <c r="J254" s="6"/>
    </row>
    <row r="255" customFormat="false" ht="15" hidden="false" customHeight="false" outlineLevel="0" collapsed="false">
      <c r="A255" s="7" t="s">
        <v>940</v>
      </c>
      <c r="B255" s="7" t="s">
        <v>288</v>
      </c>
      <c r="C255" s="16" t="str">
        <f aca="false">IFERROR(INDEX(Colaboradores!$E:$E,MATCH(B255,Colaboradores!$A:$A,0)),"")</f>
        <v>JOAO MARIA CANDIDO DE OLIVEIRA</v>
      </c>
      <c r="D255" s="7" t="s">
        <v>577</v>
      </c>
      <c r="E255" s="16" t="str">
        <f aca="false">IFERROR(INDEX(Doc_Catalogo!$B:$B,MATCH(D255,Doc_Catalogo!$A:$A,0)),"")</f>
        <v>Contrato de Trabalho</v>
      </c>
      <c r="F255" s="7"/>
      <c r="G255" s="13"/>
      <c r="H255" s="16" t="str">
        <f aca="true">IF(G255="","N/A",IF(G255&lt;TODAY(),"VENCIDO",IF(G255&lt;=TODAY()+30,"VENCENDO","VALIDO")))</f>
        <v>N/A</v>
      </c>
      <c r="I255" s="7"/>
      <c r="J255" s="7" t="s">
        <v>686</v>
      </c>
    </row>
    <row r="256" customFormat="false" ht="15" hidden="false" customHeight="false" outlineLevel="0" collapsed="false">
      <c r="A256" s="7" t="s">
        <v>941</v>
      </c>
      <c r="B256" s="7" t="s">
        <v>288</v>
      </c>
      <c r="C256" s="16" t="str">
        <f aca="false">IFERROR(INDEX(Colaboradores!$E:$E,MATCH(B256,Colaboradores!$A:$A,0)),"")</f>
        <v>JOAO MARIA CANDIDO DE OLIVEIRA</v>
      </c>
      <c r="D256" s="7" t="s">
        <v>586</v>
      </c>
      <c r="E256" s="16" t="str">
        <f aca="false">IFERROR(INDEX(Doc_Catalogo!$B:$B,MATCH(D256,Doc_Catalogo!$A:$A,0)),"")</f>
        <v>Ordem de Servico</v>
      </c>
      <c r="F256" s="7"/>
      <c r="G256" s="13"/>
      <c r="H256" s="16" t="str">
        <f aca="true">IF(G256="","N/A",IF(G256&lt;TODAY(),"VENCIDO",IF(G256&lt;=TODAY()+30,"VENCENDO","VALIDO")))</f>
        <v>N/A</v>
      </c>
      <c r="I256" s="7"/>
      <c r="J256" s="7" t="s">
        <v>686</v>
      </c>
    </row>
    <row r="257" customFormat="false" ht="15" hidden="false" customHeight="false" outlineLevel="0" collapsed="false">
      <c r="A257" s="7" t="s">
        <v>942</v>
      </c>
      <c r="B257" s="7" t="s">
        <v>288</v>
      </c>
      <c r="C257" s="16" t="str">
        <f aca="false">IFERROR(INDEX(Colaboradores!$E:$E,MATCH(B257,Colaboradores!$A:$A,0)),"")</f>
        <v>JOAO MARIA CANDIDO DE OLIVEIRA</v>
      </c>
      <c r="D257" s="7" t="s">
        <v>588</v>
      </c>
      <c r="E257" s="16" t="str">
        <f aca="false">IFERROR(INDEX(Doc_Catalogo!$B:$B,MATCH(D257,Doc_Catalogo!$A:$A,0)),"")</f>
        <v>Ficha de EPI Atualizada</v>
      </c>
      <c r="F257" s="7"/>
      <c r="G257" s="13"/>
      <c r="H257" s="16" t="str">
        <f aca="true">IF(G257="","N/A",IF(G257&lt;TODAY(),"VENCIDO",IF(G257&lt;=TODAY()+30,"VENCENDO","VALIDO")))</f>
        <v>N/A</v>
      </c>
      <c r="I257" s="7"/>
      <c r="J257" s="7" t="s">
        <v>686</v>
      </c>
    </row>
    <row r="258" customFormat="false" ht="15" hidden="false" customHeight="false" outlineLevel="0" collapsed="false">
      <c r="A258" s="6" t="s">
        <v>943</v>
      </c>
      <c r="B258" s="6" t="s">
        <v>291</v>
      </c>
      <c r="C258" s="12" t="str">
        <f aca="false">IFERROR(INDEX(Colaboradores!$E:$E,MATCH(B258,Colaboradores!$A:$A,0)),"")</f>
        <v>MANOEL SEVERO NETO</v>
      </c>
      <c r="D258" s="6" t="s">
        <v>498</v>
      </c>
      <c r="E258" s="12" t="str">
        <f aca="false">IFERROR(INDEX(Doc_Catalogo!$B:$B,MATCH(D258,Doc_Catalogo!$A:$A,0)),"")</f>
        <v>CNH</v>
      </c>
      <c r="F258" s="6"/>
      <c r="G258" s="17" t="n">
        <v>46700</v>
      </c>
      <c r="H258" s="12" t="str">
        <f aca="true">IF(G258="","N/A",IF(G258&lt;TODAY(),"VENCIDO",IF(G258&lt;=TODAY()+30,"VENCENDO","VALIDO")))</f>
        <v>VALIDO</v>
      </c>
      <c r="I258" s="6"/>
      <c r="J258" s="6"/>
    </row>
    <row r="259" customFormat="false" ht="15" hidden="false" customHeight="false" outlineLevel="0" collapsed="false">
      <c r="A259" s="6" t="s">
        <v>944</v>
      </c>
      <c r="B259" s="6" t="s">
        <v>291</v>
      </c>
      <c r="C259" s="12" t="str">
        <f aca="false">IFERROR(INDEX(Colaboradores!$E:$E,MATCH(B259,Colaboradores!$A:$A,0)),"")</f>
        <v>MANOEL SEVERO NETO</v>
      </c>
      <c r="D259" s="6" t="s">
        <v>501</v>
      </c>
      <c r="E259" s="12" t="str">
        <f aca="false">IFERROR(INDEX(Doc_Catalogo!$B:$B,MATCH(D259,Doc_Catalogo!$A:$A,0)),"")</f>
        <v>ASO</v>
      </c>
      <c r="F259" s="6"/>
      <c r="G259" s="17" t="n">
        <v>46421</v>
      </c>
      <c r="H259" s="12" t="str">
        <f aca="true">IF(G259="","N/A",IF(G259&lt;TODAY(),"VENCIDO",IF(G259&lt;=TODAY()+30,"VENCENDO","VALIDO")))</f>
        <v>VALIDO</v>
      </c>
      <c r="I259" s="6"/>
      <c r="J259" s="6"/>
    </row>
    <row r="260" customFormat="false" ht="15" hidden="false" customHeight="false" outlineLevel="0" collapsed="false">
      <c r="A260" s="6" t="s">
        <v>945</v>
      </c>
      <c r="B260" s="6" t="s">
        <v>291</v>
      </c>
      <c r="C260" s="12" t="str">
        <f aca="false">IFERROR(INDEX(Colaboradores!$E:$E,MATCH(B260,Colaboradores!$A:$A,0)),"")</f>
        <v>MANOEL SEVERO NETO</v>
      </c>
      <c r="D260" s="6" t="s">
        <v>519</v>
      </c>
      <c r="E260" s="12" t="str">
        <f aca="false">IFERROR(INDEX(Doc_Catalogo!$B:$B,MATCH(D260,Doc_Catalogo!$A:$A,0)),"")</f>
        <v>Certificado da NR06 — Colaborador</v>
      </c>
      <c r="F260" s="6"/>
      <c r="G260" s="17" t="n">
        <v>45099</v>
      </c>
      <c r="H260" s="12" t="str">
        <f aca="true">IF(G260="","N/A",IF(G260&lt;TODAY(),"VENCIDO",IF(G260&lt;=TODAY()+30,"VENCENDO","VALIDO")))</f>
        <v>VENCIDO</v>
      </c>
      <c r="I260" s="6"/>
      <c r="J260" s="6"/>
    </row>
    <row r="261" customFormat="false" ht="15" hidden="false" customHeight="false" outlineLevel="0" collapsed="false">
      <c r="A261" s="6" t="s">
        <v>946</v>
      </c>
      <c r="B261" s="6" t="s">
        <v>291</v>
      </c>
      <c r="C261" s="12" t="str">
        <f aca="false">IFERROR(INDEX(Colaboradores!$E:$E,MATCH(B261,Colaboradores!$A:$A,0)),"")</f>
        <v>MANOEL SEVERO NETO</v>
      </c>
      <c r="D261" s="6" t="s">
        <v>524</v>
      </c>
      <c r="E261" s="12" t="str">
        <f aca="false">IFERROR(INDEX(Doc_Catalogo!$B:$B,MATCH(D261,Doc_Catalogo!$A:$A,0)),"")</f>
        <v>Certificado da NR10 — Colaborador</v>
      </c>
      <c r="F261" s="6"/>
      <c r="G261" s="17" t="n">
        <v>45464</v>
      </c>
      <c r="H261" s="12" t="str">
        <f aca="true">IF(G261="","N/A",IF(G261&lt;TODAY(),"VENCIDO",IF(G261&lt;=TODAY()+30,"VENCENDO","VALIDO")))</f>
        <v>VENCIDO</v>
      </c>
      <c r="I261" s="6"/>
      <c r="J261" s="6"/>
    </row>
    <row r="262" customFormat="false" ht="15" hidden="false" customHeight="false" outlineLevel="0" collapsed="false">
      <c r="A262" s="6" t="s">
        <v>947</v>
      </c>
      <c r="B262" s="6" t="s">
        <v>291</v>
      </c>
      <c r="C262" s="12" t="str">
        <f aca="false">IFERROR(INDEX(Colaboradores!$E:$E,MATCH(B262,Colaboradores!$A:$A,0)),"")</f>
        <v>MANOEL SEVERO NETO</v>
      </c>
      <c r="D262" s="6" t="s">
        <v>549</v>
      </c>
      <c r="E262" s="12" t="str">
        <f aca="false">IFERROR(INDEX(Doc_Catalogo!$B:$B,MATCH(D262,Doc_Catalogo!$A:$A,0)),"")</f>
        <v>Certificado da NR18 — Colaborador</v>
      </c>
      <c r="F262" s="6"/>
      <c r="G262" s="17" t="n">
        <v>45600</v>
      </c>
      <c r="H262" s="12" t="str">
        <f aca="true">IF(G262="","N/A",IF(G262&lt;TODAY(),"VENCIDO",IF(G262&lt;=TODAY()+30,"VENCENDO","VALIDO")))</f>
        <v>VENCIDO</v>
      </c>
      <c r="I262" s="6"/>
      <c r="J262" s="6"/>
    </row>
    <row r="263" customFormat="false" ht="15" hidden="false" customHeight="false" outlineLevel="0" collapsed="false">
      <c r="A263" s="6" t="s">
        <v>948</v>
      </c>
      <c r="B263" s="6" t="s">
        <v>291</v>
      </c>
      <c r="C263" s="12" t="str">
        <f aca="false">IFERROR(INDEX(Colaboradores!$E:$E,MATCH(B263,Colaboradores!$A:$A,0)),"")</f>
        <v>MANOEL SEVERO NETO</v>
      </c>
      <c r="D263" s="6" t="s">
        <v>561</v>
      </c>
      <c r="E263" s="12" t="str">
        <f aca="false">IFERROR(INDEX(Doc_Catalogo!$B:$B,MATCH(D263,Doc_Catalogo!$A:$A,0)),"")</f>
        <v>Certificado da NR34 — Colaborador</v>
      </c>
      <c r="F263" s="6"/>
      <c r="G263" s="17" t="n">
        <v>45937</v>
      </c>
      <c r="H263" s="12" t="str">
        <f aca="true">IF(G263="","N/A",IF(G263&lt;TODAY(),"VENCIDO",IF(G263&lt;=TODAY()+30,"VENCENDO","VALIDO")))</f>
        <v>VENCIDO</v>
      </c>
      <c r="I263" s="6"/>
      <c r="J263" s="6"/>
    </row>
    <row r="264" customFormat="false" ht="15" hidden="false" customHeight="false" outlineLevel="0" collapsed="false">
      <c r="A264" s="6" t="s">
        <v>949</v>
      </c>
      <c r="B264" s="6" t="s">
        <v>291</v>
      </c>
      <c r="C264" s="12" t="str">
        <f aca="false">IFERROR(INDEX(Colaboradores!$E:$E,MATCH(B264,Colaboradores!$A:$A,0)),"")</f>
        <v>MANOEL SEVERO NETO</v>
      </c>
      <c r="D264" s="6" t="s">
        <v>565</v>
      </c>
      <c r="E264" s="12" t="str">
        <f aca="false">IFERROR(INDEX(Doc_Catalogo!$B:$B,MATCH(D264,Doc_Catalogo!$A:$A,0)),"")</f>
        <v>Certificado da NR35 — Colaborador</v>
      </c>
      <c r="F264" s="6"/>
      <c r="G264" s="17" t="n">
        <v>46845</v>
      </c>
      <c r="H264" s="12" t="str">
        <f aca="true">IF(G264="","N/A",IF(G264&lt;TODAY(),"VENCIDO",IF(G264&lt;=TODAY()+30,"VENCENDO","VALIDO")))</f>
        <v>VALIDO</v>
      </c>
      <c r="I264" s="6"/>
      <c r="J264" s="6"/>
    </row>
    <row r="265" customFormat="false" ht="15" hidden="false" customHeight="false" outlineLevel="0" collapsed="false">
      <c r="A265" s="7" t="s">
        <v>950</v>
      </c>
      <c r="B265" s="7" t="s">
        <v>291</v>
      </c>
      <c r="C265" s="16" t="str">
        <f aca="false">IFERROR(INDEX(Colaboradores!$E:$E,MATCH(B265,Colaboradores!$A:$A,0)),"")</f>
        <v>MANOEL SEVERO NETO</v>
      </c>
      <c r="D265" s="7" t="s">
        <v>577</v>
      </c>
      <c r="E265" s="16" t="str">
        <f aca="false">IFERROR(INDEX(Doc_Catalogo!$B:$B,MATCH(D265,Doc_Catalogo!$A:$A,0)),"")</f>
        <v>Contrato de Trabalho</v>
      </c>
      <c r="F265" s="7"/>
      <c r="G265" s="13"/>
      <c r="H265" s="16" t="str">
        <f aca="true">IF(G265="","N/A",IF(G265&lt;TODAY(),"VENCIDO",IF(G265&lt;=TODAY()+30,"VENCENDO","VALIDO")))</f>
        <v>N/A</v>
      </c>
      <c r="I265" s="7"/>
      <c r="J265" s="7" t="s">
        <v>686</v>
      </c>
    </row>
    <row r="266" customFormat="false" ht="15" hidden="false" customHeight="false" outlineLevel="0" collapsed="false">
      <c r="A266" s="7" t="s">
        <v>951</v>
      </c>
      <c r="B266" s="7" t="s">
        <v>291</v>
      </c>
      <c r="C266" s="16" t="str">
        <f aca="false">IFERROR(INDEX(Colaboradores!$E:$E,MATCH(B266,Colaboradores!$A:$A,0)),"")</f>
        <v>MANOEL SEVERO NETO</v>
      </c>
      <c r="D266" s="7" t="s">
        <v>586</v>
      </c>
      <c r="E266" s="16" t="str">
        <f aca="false">IFERROR(INDEX(Doc_Catalogo!$B:$B,MATCH(D266,Doc_Catalogo!$A:$A,0)),"")</f>
        <v>Ordem de Servico</v>
      </c>
      <c r="F266" s="7"/>
      <c r="G266" s="13"/>
      <c r="H266" s="16" t="str">
        <f aca="true">IF(G266="","N/A",IF(G266&lt;TODAY(),"VENCIDO",IF(G266&lt;=TODAY()+30,"VENCENDO","VALIDO")))</f>
        <v>N/A</v>
      </c>
      <c r="I266" s="7"/>
      <c r="J266" s="7" t="s">
        <v>686</v>
      </c>
    </row>
    <row r="267" customFormat="false" ht="15" hidden="false" customHeight="false" outlineLevel="0" collapsed="false">
      <c r="A267" s="7" t="s">
        <v>952</v>
      </c>
      <c r="B267" s="7" t="s">
        <v>291</v>
      </c>
      <c r="C267" s="16" t="str">
        <f aca="false">IFERROR(INDEX(Colaboradores!$E:$E,MATCH(B267,Colaboradores!$A:$A,0)),"")</f>
        <v>MANOEL SEVERO NETO</v>
      </c>
      <c r="D267" s="7" t="s">
        <v>588</v>
      </c>
      <c r="E267" s="16" t="str">
        <f aca="false">IFERROR(INDEX(Doc_Catalogo!$B:$B,MATCH(D267,Doc_Catalogo!$A:$A,0)),"")</f>
        <v>Ficha de EPI Atualizada</v>
      </c>
      <c r="F267" s="7"/>
      <c r="G267" s="13"/>
      <c r="H267" s="16" t="str">
        <f aca="true">IF(G267="","N/A",IF(G267&lt;TODAY(),"VENCIDO",IF(G267&lt;=TODAY()+30,"VENCENDO","VALIDO")))</f>
        <v>N/A</v>
      </c>
      <c r="I267" s="7"/>
      <c r="J267" s="7" t="s">
        <v>686</v>
      </c>
    </row>
    <row r="268" customFormat="false" ht="15" hidden="false" customHeight="false" outlineLevel="0" collapsed="false">
      <c r="A268" s="6" t="s">
        <v>953</v>
      </c>
      <c r="B268" s="6" t="s">
        <v>294</v>
      </c>
      <c r="C268" s="12" t="str">
        <f aca="false">IFERROR(INDEX(Colaboradores!$E:$E,MATCH(B268,Colaboradores!$A:$A,0)),"")</f>
        <v>RAFAEL PEREIRA DE LIMA</v>
      </c>
      <c r="D268" s="6" t="s">
        <v>498</v>
      </c>
      <c r="E268" s="12" t="str">
        <f aca="false">IFERROR(INDEX(Doc_Catalogo!$B:$B,MATCH(D268,Doc_Catalogo!$A:$A,0)),"")</f>
        <v>CNH</v>
      </c>
      <c r="F268" s="6"/>
      <c r="G268" s="17" t="n">
        <v>48621</v>
      </c>
      <c r="H268" s="12" t="str">
        <f aca="true">IF(G268="","N/A",IF(G268&lt;TODAY(),"VENCIDO",IF(G268&lt;=TODAY()+30,"VENCENDO","VALIDO")))</f>
        <v>VALIDO</v>
      </c>
      <c r="I268" s="6"/>
      <c r="J268" s="6"/>
    </row>
    <row r="269" customFormat="false" ht="15" hidden="false" customHeight="false" outlineLevel="0" collapsed="false">
      <c r="A269" s="6" t="s">
        <v>954</v>
      </c>
      <c r="B269" s="6" t="s">
        <v>294</v>
      </c>
      <c r="C269" s="12" t="str">
        <f aca="false">IFERROR(INDEX(Colaboradores!$E:$E,MATCH(B269,Colaboradores!$A:$A,0)),"")</f>
        <v>RAFAEL PEREIRA DE LIMA</v>
      </c>
      <c r="D269" s="6" t="s">
        <v>501</v>
      </c>
      <c r="E269" s="12" t="str">
        <f aca="false">IFERROR(INDEX(Doc_Catalogo!$B:$B,MATCH(D269,Doc_Catalogo!$A:$A,0)),"")</f>
        <v>ASO</v>
      </c>
      <c r="F269" s="6"/>
      <c r="G269" s="17" t="n">
        <v>46053</v>
      </c>
      <c r="H269" s="12" t="str">
        <f aca="true">IF(G269="","N/A",IF(G269&lt;TODAY(),"VENCIDO",IF(G269&lt;=TODAY()+30,"VENCENDO","VALIDO")))</f>
        <v>VENCIDO</v>
      </c>
      <c r="I269" s="6"/>
      <c r="J269" s="6"/>
    </row>
    <row r="270" customFormat="false" ht="15" hidden="false" customHeight="false" outlineLevel="0" collapsed="false">
      <c r="A270" s="6" t="s">
        <v>955</v>
      </c>
      <c r="B270" s="6" t="s">
        <v>294</v>
      </c>
      <c r="C270" s="12" t="str">
        <f aca="false">IFERROR(INDEX(Colaboradores!$E:$E,MATCH(B270,Colaboradores!$A:$A,0)),"")</f>
        <v>RAFAEL PEREIRA DE LIMA</v>
      </c>
      <c r="D270" s="6" t="s">
        <v>519</v>
      </c>
      <c r="E270" s="12" t="str">
        <f aca="false">IFERROR(INDEX(Doc_Catalogo!$B:$B,MATCH(D270,Doc_Catalogo!$A:$A,0)),"")</f>
        <v>Certificado da NR06 — Colaborador</v>
      </c>
      <c r="F270" s="6"/>
      <c r="G270" s="17" t="n">
        <v>45097</v>
      </c>
      <c r="H270" s="12" t="str">
        <f aca="true">IF(G270="","N/A",IF(G270&lt;TODAY(),"VENCIDO",IF(G270&lt;=TODAY()+30,"VENCENDO","VALIDO")))</f>
        <v>VENCIDO</v>
      </c>
      <c r="I270" s="6"/>
      <c r="J270" s="6"/>
    </row>
    <row r="271" customFormat="false" ht="15" hidden="false" customHeight="false" outlineLevel="0" collapsed="false">
      <c r="A271" s="6" t="s">
        <v>956</v>
      </c>
      <c r="B271" s="6" t="s">
        <v>294</v>
      </c>
      <c r="C271" s="12" t="str">
        <f aca="false">IFERROR(INDEX(Colaboradores!$E:$E,MATCH(B271,Colaboradores!$A:$A,0)),"")</f>
        <v>RAFAEL PEREIRA DE LIMA</v>
      </c>
      <c r="D271" s="6" t="s">
        <v>524</v>
      </c>
      <c r="E271" s="12" t="str">
        <f aca="false">IFERROR(INDEX(Doc_Catalogo!$B:$B,MATCH(D271,Doc_Catalogo!$A:$A,0)),"")</f>
        <v>Certificado da NR10 — Colaborador</v>
      </c>
      <c r="F271" s="6"/>
      <c r="G271" s="17" t="n">
        <v>45464</v>
      </c>
      <c r="H271" s="12" t="str">
        <f aca="true">IF(G271="","N/A",IF(G271&lt;TODAY(),"VENCIDO",IF(G271&lt;=TODAY()+30,"VENCENDO","VALIDO")))</f>
        <v>VENCIDO</v>
      </c>
      <c r="I271" s="6"/>
      <c r="J271" s="6"/>
    </row>
    <row r="272" customFormat="false" ht="15" hidden="false" customHeight="false" outlineLevel="0" collapsed="false">
      <c r="A272" s="6" t="s">
        <v>957</v>
      </c>
      <c r="B272" s="6" t="s">
        <v>294</v>
      </c>
      <c r="C272" s="12" t="str">
        <f aca="false">IFERROR(INDEX(Colaboradores!$E:$E,MATCH(B272,Colaboradores!$A:$A,0)),"")</f>
        <v>RAFAEL PEREIRA DE LIMA</v>
      </c>
      <c r="D272" s="6" t="s">
        <v>549</v>
      </c>
      <c r="E272" s="12" t="str">
        <f aca="false">IFERROR(INDEX(Doc_Catalogo!$B:$B,MATCH(D272,Doc_Catalogo!$A:$A,0)),"")</f>
        <v>Certificado da NR18 — Colaborador</v>
      </c>
      <c r="F272" s="6"/>
      <c r="G272" s="17" t="n">
        <v>45600</v>
      </c>
      <c r="H272" s="12" t="str">
        <f aca="true">IF(G272="","N/A",IF(G272&lt;TODAY(),"VENCIDO",IF(G272&lt;=TODAY()+30,"VENCENDO","VALIDO")))</f>
        <v>VENCIDO</v>
      </c>
      <c r="I272" s="6"/>
      <c r="J272" s="6"/>
    </row>
    <row r="273" customFormat="false" ht="15" hidden="false" customHeight="false" outlineLevel="0" collapsed="false">
      <c r="A273" s="6" t="s">
        <v>958</v>
      </c>
      <c r="B273" s="6" t="s">
        <v>294</v>
      </c>
      <c r="C273" s="12" t="str">
        <f aca="false">IFERROR(INDEX(Colaboradores!$E:$E,MATCH(B273,Colaboradores!$A:$A,0)),"")</f>
        <v>RAFAEL PEREIRA DE LIMA</v>
      </c>
      <c r="D273" s="6" t="s">
        <v>565</v>
      </c>
      <c r="E273" s="12" t="str">
        <f aca="false">IFERROR(INDEX(Doc_Catalogo!$B:$B,MATCH(D273,Doc_Catalogo!$A:$A,0)),"")</f>
        <v>Certificado da NR35 — Colaborador</v>
      </c>
      <c r="F273" s="6"/>
      <c r="G273" s="17" t="n">
        <v>46768</v>
      </c>
      <c r="H273" s="12" t="str">
        <f aca="true">IF(G273="","N/A",IF(G273&lt;TODAY(),"VENCIDO",IF(G273&lt;=TODAY()+30,"VENCENDO","VALIDO")))</f>
        <v>VALIDO</v>
      </c>
      <c r="I273" s="6"/>
      <c r="J273" s="6"/>
    </row>
    <row r="274" customFormat="false" ht="15" hidden="false" customHeight="false" outlineLevel="0" collapsed="false">
      <c r="A274" s="7" t="s">
        <v>959</v>
      </c>
      <c r="B274" s="7" t="s">
        <v>294</v>
      </c>
      <c r="C274" s="16" t="str">
        <f aca="false">IFERROR(INDEX(Colaboradores!$E:$E,MATCH(B274,Colaboradores!$A:$A,0)),"")</f>
        <v>RAFAEL PEREIRA DE LIMA</v>
      </c>
      <c r="D274" s="7" t="s">
        <v>577</v>
      </c>
      <c r="E274" s="16" t="str">
        <f aca="false">IFERROR(INDEX(Doc_Catalogo!$B:$B,MATCH(D274,Doc_Catalogo!$A:$A,0)),"")</f>
        <v>Contrato de Trabalho</v>
      </c>
      <c r="F274" s="7"/>
      <c r="G274" s="13"/>
      <c r="H274" s="16" t="str">
        <f aca="true">IF(G274="","N/A",IF(G274&lt;TODAY(),"VENCIDO",IF(G274&lt;=TODAY()+30,"VENCENDO","VALIDO")))</f>
        <v>N/A</v>
      </c>
      <c r="I274" s="7"/>
      <c r="J274" s="7" t="s">
        <v>686</v>
      </c>
    </row>
    <row r="275" customFormat="false" ht="15" hidden="false" customHeight="false" outlineLevel="0" collapsed="false">
      <c r="A275" s="7" t="s">
        <v>960</v>
      </c>
      <c r="B275" s="7" t="s">
        <v>294</v>
      </c>
      <c r="C275" s="16" t="str">
        <f aca="false">IFERROR(INDEX(Colaboradores!$E:$E,MATCH(B275,Colaboradores!$A:$A,0)),"")</f>
        <v>RAFAEL PEREIRA DE LIMA</v>
      </c>
      <c r="D275" s="7" t="s">
        <v>586</v>
      </c>
      <c r="E275" s="16" t="str">
        <f aca="false">IFERROR(INDEX(Doc_Catalogo!$B:$B,MATCH(D275,Doc_Catalogo!$A:$A,0)),"")</f>
        <v>Ordem de Servico</v>
      </c>
      <c r="F275" s="7"/>
      <c r="G275" s="13"/>
      <c r="H275" s="16" t="str">
        <f aca="true">IF(G275="","N/A",IF(G275&lt;TODAY(),"VENCIDO",IF(G275&lt;=TODAY()+30,"VENCENDO","VALIDO")))</f>
        <v>N/A</v>
      </c>
      <c r="I275" s="7"/>
      <c r="J275" s="7" t="s">
        <v>686</v>
      </c>
    </row>
    <row r="276" customFormat="false" ht="15" hidden="false" customHeight="false" outlineLevel="0" collapsed="false">
      <c r="A276" s="7" t="s">
        <v>961</v>
      </c>
      <c r="B276" s="7" t="s">
        <v>294</v>
      </c>
      <c r="C276" s="16" t="str">
        <f aca="false">IFERROR(INDEX(Colaboradores!$E:$E,MATCH(B276,Colaboradores!$A:$A,0)),"")</f>
        <v>RAFAEL PEREIRA DE LIMA</v>
      </c>
      <c r="D276" s="7" t="s">
        <v>588</v>
      </c>
      <c r="E276" s="16" t="str">
        <f aca="false">IFERROR(INDEX(Doc_Catalogo!$B:$B,MATCH(D276,Doc_Catalogo!$A:$A,0)),"")</f>
        <v>Ficha de EPI Atualizada</v>
      </c>
      <c r="F276" s="7"/>
      <c r="G276" s="13"/>
      <c r="H276" s="16" t="str">
        <f aca="true">IF(G276="","N/A",IF(G276&lt;TODAY(),"VENCIDO",IF(G276&lt;=TODAY()+30,"VENCENDO","VALIDO")))</f>
        <v>N/A</v>
      </c>
      <c r="I276" s="7"/>
      <c r="J276" s="7" t="s">
        <v>686</v>
      </c>
    </row>
    <row r="277" customFormat="false" ht="15" hidden="false" customHeight="false" outlineLevel="0" collapsed="false">
      <c r="A277" s="6" t="s">
        <v>962</v>
      </c>
      <c r="B277" s="6" t="s">
        <v>221</v>
      </c>
      <c r="C277" s="12" t="str">
        <f aca="false">IFERROR(INDEX(Colaboradores!$E:$E,MATCH(B277,Colaboradores!$A:$A,0)),"")</f>
        <v>SILVIO SCHURT</v>
      </c>
      <c r="D277" s="6" t="s">
        <v>501</v>
      </c>
      <c r="E277" s="12" t="str">
        <f aca="false">IFERROR(INDEX(Doc_Catalogo!$B:$B,MATCH(D277,Doc_Catalogo!$A:$A,0)),"")</f>
        <v>ASO</v>
      </c>
      <c r="F277" s="6"/>
      <c r="G277" s="17" t="n">
        <v>46550</v>
      </c>
      <c r="H277" s="12" t="str">
        <f aca="true">IF(G277="","N/A",IF(G277&lt;TODAY(),"VENCIDO",IF(G277&lt;=TODAY()+30,"VENCENDO","VALIDO")))</f>
        <v>VALIDO</v>
      </c>
      <c r="I277" s="6"/>
      <c r="J277" s="6"/>
    </row>
    <row r="278" customFormat="false" ht="15" hidden="false" customHeight="false" outlineLevel="0" collapsed="false">
      <c r="A278" s="6" t="s">
        <v>963</v>
      </c>
      <c r="B278" s="6" t="s">
        <v>221</v>
      </c>
      <c r="C278" s="12" t="str">
        <f aca="false">IFERROR(INDEX(Colaboradores!$E:$E,MATCH(B278,Colaboradores!$A:$A,0)),"")</f>
        <v>SILVIO SCHURT</v>
      </c>
      <c r="D278" s="6" t="s">
        <v>519</v>
      </c>
      <c r="E278" s="12" t="str">
        <f aca="false">IFERROR(INDEX(Doc_Catalogo!$B:$B,MATCH(D278,Doc_Catalogo!$A:$A,0)),"")</f>
        <v>Certificado da NR06 — Colaborador</v>
      </c>
      <c r="F278" s="6"/>
      <c r="G278" s="17" t="n">
        <v>46545</v>
      </c>
      <c r="H278" s="12" t="str">
        <f aca="true">IF(G278="","N/A",IF(G278&lt;TODAY(),"VENCIDO",IF(G278&lt;=TODAY()+30,"VENCENDO","VALIDO")))</f>
        <v>VALIDO</v>
      </c>
      <c r="I278" s="6"/>
      <c r="J278" s="6"/>
    </row>
    <row r="279" customFormat="false" ht="15" hidden="false" customHeight="false" outlineLevel="0" collapsed="false">
      <c r="A279" s="6" t="s">
        <v>964</v>
      </c>
      <c r="B279" s="6" t="s">
        <v>221</v>
      </c>
      <c r="C279" s="12" t="str">
        <f aca="false">IFERROR(INDEX(Colaboradores!$E:$E,MATCH(B279,Colaboradores!$A:$A,0)),"")</f>
        <v>SILVIO SCHURT</v>
      </c>
      <c r="D279" s="6" t="s">
        <v>524</v>
      </c>
      <c r="E279" s="12" t="str">
        <f aca="false">IFERROR(INDEX(Doc_Catalogo!$B:$B,MATCH(D279,Doc_Catalogo!$A:$A,0)),"")</f>
        <v>Certificado da NR10 — Colaborador</v>
      </c>
      <c r="F279" s="6"/>
      <c r="G279" s="17" t="n">
        <v>46902</v>
      </c>
      <c r="H279" s="12" t="str">
        <f aca="true">IF(G279="","N/A",IF(G279&lt;TODAY(),"VENCIDO",IF(G279&lt;=TODAY()+30,"VENCENDO","VALIDO")))</f>
        <v>VALIDO</v>
      </c>
      <c r="I279" s="6"/>
      <c r="J279" s="6"/>
    </row>
    <row r="280" customFormat="false" ht="15" hidden="false" customHeight="false" outlineLevel="0" collapsed="false">
      <c r="A280" s="6" t="s">
        <v>965</v>
      </c>
      <c r="B280" s="6" t="s">
        <v>221</v>
      </c>
      <c r="C280" s="12" t="str">
        <f aca="false">IFERROR(INDEX(Colaboradores!$E:$E,MATCH(B280,Colaboradores!$A:$A,0)),"")</f>
        <v>SILVIO SCHURT</v>
      </c>
      <c r="D280" s="6" t="s">
        <v>529</v>
      </c>
      <c r="E280" s="12" t="str">
        <f aca="false">IFERROR(INDEX(Doc_Catalogo!$B:$B,MATCH(D280,Doc_Catalogo!$A:$A,0)),"")</f>
        <v>Carta de anuencia (NR10) — Colaborador</v>
      </c>
      <c r="F280" s="6"/>
      <c r="G280" s="17" t="n">
        <v>46902</v>
      </c>
      <c r="H280" s="12" t="str">
        <f aca="true">IF(G280="","N/A",IF(G280&lt;TODAY(),"VENCIDO",IF(G280&lt;=TODAY()+30,"VENCENDO","VALIDO")))</f>
        <v>VALIDO</v>
      </c>
      <c r="I280" s="6"/>
      <c r="J280" s="6"/>
    </row>
    <row r="281" customFormat="false" ht="15" hidden="false" customHeight="false" outlineLevel="0" collapsed="false">
      <c r="A281" s="6" t="s">
        <v>966</v>
      </c>
      <c r="B281" s="6" t="s">
        <v>221</v>
      </c>
      <c r="C281" s="12" t="str">
        <f aca="false">IFERROR(INDEX(Colaboradores!$E:$E,MATCH(B281,Colaboradores!$A:$A,0)),"")</f>
        <v>SILVIO SCHURT</v>
      </c>
      <c r="D281" s="6" t="s">
        <v>533</v>
      </c>
      <c r="E281" s="12" t="str">
        <f aca="false">IFERROR(INDEX(Doc_Catalogo!$B:$B,MATCH(D281,Doc_Catalogo!$A:$A,0)),"")</f>
        <v>Certificado da NR11 — Colaborador</v>
      </c>
      <c r="F281" s="6"/>
      <c r="G281" s="17" t="n">
        <v>46542</v>
      </c>
      <c r="H281" s="12" t="str">
        <f aca="true">IF(G281="","N/A",IF(G281&lt;TODAY(),"VENCIDO",IF(G281&lt;=TODAY()+30,"VENCENDO","VALIDO")))</f>
        <v>VALIDO</v>
      </c>
      <c r="I281" s="6"/>
      <c r="J281" s="6"/>
    </row>
    <row r="282" customFormat="false" ht="15" hidden="false" customHeight="false" outlineLevel="0" collapsed="false">
      <c r="A282" s="6" t="s">
        <v>967</v>
      </c>
      <c r="B282" s="6" t="s">
        <v>221</v>
      </c>
      <c r="C282" s="12" t="str">
        <f aca="false">IFERROR(INDEX(Colaboradores!$E:$E,MATCH(B282,Colaboradores!$A:$A,0)),"")</f>
        <v>SILVIO SCHURT</v>
      </c>
      <c r="D282" s="6" t="s">
        <v>537</v>
      </c>
      <c r="E282" s="12" t="str">
        <f aca="false">IFERROR(INDEX(Doc_Catalogo!$B:$B,MATCH(D282,Doc_Catalogo!$A:$A,0)),"")</f>
        <v>Certificado da NR12 — Colaborador</v>
      </c>
      <c r="F282" s="6"/>
      <c r="G282" s="17" t="n">
        <v>46909</v>
      </c>
      <c r="H282" s="12" t="str">
        <f aca="true">IF(G282="","N/A",IF(G282&lt;TODAY(),"VENCIDO",IF(G282&lt;=TODAY()+30,"VENCENDO","VALIDO")))</f>
        <v>VALIDO</v>
      </c>
      <c r="I282" s="6"/>
      <c r="J282" s="6"/>
    </row>
    <row r="283" customFormat="false" ht="15" hidden="false" customHeight="false" outlineLevel="0" collapsed="false">
      <c r="A283" s="6" t="s">
        <v>968</v>
      </c>
      <c r="B283" s="6" t="s">
        <v>221</v>
      </c>
      <c r="C283" s="12" t="str">
        <f aca="false">IFERROR(INDEX(Colaboradores!$E:$E,MATCH(B283,Colaboradores!$A:$A,0)),"")</f>
        <v>SILVIO SCHURT</v>
      </c>
      <c r="D283" s="6" t="s">
        <v>541</v>
      </c>
      <c r="E283" s="12" t="str">
        <f aca="false">IFERROR(INDEX(Doc_Catalogo!$B:$B,MATCH(D283,Doc_Catalogo!$A:$A,0)),"")</f>
        <v>Carta de anuencia (NR12) — Colaborador</v>
      </c>
      <c r="F283" s="6"/>
      <c r="G283" s="17" t="n">
        <v>46909</v>
      </c>
      <c r="H283" s="12" t="str">
        <f aca="true">IF(G283="","N/A",IF(G283&lt;TODAY(),"VENCIDO",IF(G283&lt;=TODAY()+30,"VENCENDO","VALIDO")))</f>
        <v>VALIDO</v>
      </c>
      <c r="I283" s="6"/>
      <c r="J283" s="6"/>
    </row>
    <row r="284" customFormat="false" ht="15" hidden="false" customHeight="false" outlineLevel="0" collapsed="false">
      <c r="A284" s="6" t="s">
        <v>969</v>
      </c>
      <c r="B284" s="6" t="s">
        <v>221</v>
      </c>
      <c r="C284" s="12" t="str">
        <f aca="false">IFERROR(INDEX(Colaboradores!$E:$E,MATCH(B284,Colaboradores!$A:$A,0)),"")</f>
        <v>SILVIO SCHURT</v>
      </c>
      <c r="D284" s="6" t="s">
        <v>549</v>
      </c>
      <c r="E284" s="12" t="str">
        <f aca="false">IFERROR(INDEX(Doc_Catalogo!$B:$B,MATCH(D284,Doc_Catalogo!$A:$A,0)),"")</f>
        <v>Certificado da NR18 — Colaborador</v>
      </c>
      <c r="F284" s="6"/>
      <c r="G284" s="17" t="n">
        <v>46909</v>
      </c>
      <c r="H284" s="12" t="str">
        <f aca="true">IF(G284="","N/A",IF(G284&lt;TODAY(),"VENCIDO",IF(G284&lt;=TODAY()+30,"VENCENDO","VALIDO")))</f>
        <v>VALIDO</v>
      </c>
      <c r="I284" s="6"/>
      <c r="J284" s="6"/>
    </row>
    <row r="285" customFormat="false" ht="15" hidden="false" customHeight="false" outlineLevel="0" collapsed="false">
      <c r="A285" s="6" t="s">
        <v>970</v>
      </c>
      <c r="B285" s="6" t="s">
        <v>221</v>
      </c>
      <c r="C285" s="12" t="str">
        <f aca="false">IFERROR(INDEX(Colaboradores!$E:$E,MATCH(B285,Colaboradores!$A:$A,0)),"")</f>
        <v>SILVIO SCHURT</v>
      </c>
      <c r="D285" s="6" t="s">
        <v>553</v>
      </c>
      <c r="E285" s="12" t="str">
        <f aca="false">IFERROR(INDEX(Doc_Catalogo!$B:$B,MATCH(D285,Doc_Catalogo!$A:$A,0)),"")</f>
        <v>Certificado da NR33 — Colaborador</v>
      </c>
      <c r="F285" s="6"/>
      <c r="G285" s="17" t="n">
        <v>46540</v>
      </c>
      <c r="H285" s="12" t="str">
        <f aca="true">IF(G285="","N/A",IF(G285&lt;TODAY(),"VENCIDO",IF(G285&lt;=TODAY()+30,"VENCENDO","VALIDO")))</f>
        <v>VALIDO</v>
      </c>
      <c r="I285" s="6"/>
      <c r="J285" s="6"/>
    </row>
    <row r="286" customFormat="false" ht="15" hidden="false" customHeight="false" outlineLevel="0" collapsed="false">
      <c r="A286" s="6" t="s">
        <v>971</v>
      </c>
      <c r="B286" s="6" t="s">
        <v>221</v>
      </c>
      <c r="C286" s="12" t="str">
        <f aca="false">IFERROR(INDEX(Colaboradores!$E:$E,MATCH(B286,Colaboradores!$A:$A,0)),"")</f>
        <v>SILVIO SCHURT</v>
      </c>
      <c r="D286" s="6" t="s">
        <v>557</v>
      </c>
      <c r="E286" s="12" t="str">
        <f aca="false">IFERROR(INDEX(Doc_Catalogo!$B:$B,MATCH(D286,Doc_Catalogo!$A:$A,0)),"")</f>
        <v>Carta de anuencia (NR33) — Colaborador</v>
      </c>
      <c r="F286" s="6"/>
      <c r="G286" s="17" t="n">
        <v>46540</v>
      </c>
      <c r="H286" s="12" t="str">
        <f aca="true">IF(G286="","N/A",IF(G286&lt;TODAY(),"VENCIDO",IF(G286&lt;=TODAY()+30,"VENCENDO","VALIDO")))</f>
        <v>VALIDO</v>
      </c>
      <c r="I286" s="6"/>
      <c r="J286" s="6"/>
    </row>
    <row r="287" customFormat="false" ht="15" hidden="false" customHeight="false" outlineLevel="0" collapsed="false">
      <c r="A287" s="6" t="s">
        <v>972</v>
      </c>
      <c r="B287" s="6" t="s">
        <v>221</v>
      </c>
      <c r="C287" s="12" t="str">
        <f aca="false">IFERROR(INDEX(Colaboradores!$E:$E,MATCH(B287,Colaboradores!$A:$A,0)),"")</f>
        <v>SILVIO SCHURT</v>
      </c>
      <c r="D287" s="6" t="s">
        <v>565</v>
      </c>
      <c r="E287" s="12" t="str">
        <f aca="false">IFERROR(INDEX(Doc_Catalogo!$B:$B,MATCH(D287,Doc_Catalogo!$A:$A,0)),"")</f>
        <v>Certificado da NR35 — Colaborador</v>
      </c>
      <c r="F287" s="6"/>
      <c r="G287" s="17" t="n">
        <v>46907</v>
      </c>
      <c r="H287" s="12" t="str">
        <f aca="true">IF(G287="","N/A",IF(G287&lt;TODAY(),"VENCIDO",IF(G287&lt;=TODAY()+30,"VENCENDO","VALIDO")))</f>
        <v>VALIDO</v>
      </c>
      <c r="I287" s="6"/>
      <c r="J287" s="6"/>
    </row>
    <row r="288" customFormat="false" ht="15" hidden="false" customHeight="false" outlineLevel="0" collapsed="false">
      <c r="A288" s="6" t="s">
        <v>973</v>
      </c>
      <c r="B288" s="6" t="s">
        <v>221</v>
      </c>
      <c r="C288" s="12" t="str">
        <f aca="false">IFERROR(INDEX(Colaboradores!$E:$E,MATCH(B288,Colaboradores!$A:$A,0)),"")</f>
        <v>SILVIO SCHURT</v>
      </c>
      <c r="D288" s="6" t="s">
        <v>569</v>
      </c>
      <c r="E288" s="12" t="str">
        <f aca="false">IFERROR(INDEX(Doc_Catalogo!$B:$B,MATCH(D288,Doc_Catalogo!$A:$A,0)),"")</f>
        <v>Carta de anuencia (NR35) — Colaborador</v>
      </c>
      <c r="F288" s="6"/>
      <c r="G288" s="17" t="n">
        <v>46907</v>
      </c>
      <c r="H288" s="12" t="str">
        <f aca="true">IF(G288="","N/A",IF(G288&lt;TODAY(),"VENCIDO",IF(G288&lt;=TODAY()+30,"VENCENDO","VALIDO")))</f>
        <v>VALIDO</v>
      </c>
      <c r="I288" s="6"/>
      <c r="J288" s="6"/>
    </row>
    <row r="289" customFormat="false" ht="15" hidden="false" customHeight="false" outlineLevel="0" collapsed="false">
      <c r="A289" s="6" t="s">
        <v>974</v>
      </c>
      <c r="B289" s="6" t="s">
        <v>355</v>
      </c>
      <c r="C289" s="12" t="str">
        <f aca="false">IFERROR(INDEX(Colaboradores!$E:$E,MATCH(B289,Colaboradores!$A:$A,0)),"")</f>
        <v>LUCAS FRANCO</v>
      </c>
      <c r="D289" s="6" t="s">
        <v>501</v>
      </c>
      <c r="E289" s="12" t="str">
        <f aca="false">IFERROR(INDEX(Doc_Catalogo!$B:$B,MATCH(D289,Doc_Catalogo!$A:$A,0)),"")</f>
        <v>ASO</v>
      </c>
      <c r="F289" s="6"/>
      <c r="G289" s="17" t="n">
        <v>46444</v>
      </c>
      <c r="H289" s="12" t="str">
        <f aca="true">IF(G289="","N/A",IF(G289&lt;TODAY(),"VENCIDO",IF(G289&lt;=TODAY()+30,"VENCENDO","VALIDO")))</f>
        <v>VALIDO</v>
      </c>
      <c r="I289" s="6"/>
      <c r="J289" s="6"/>
    </row>
    <row r="290" customFormat="false" ht="15" hidden="false" customHeight="false" outlineLevel="0" collapsed="false">
      <c r="A290" s="6" t="s">
        <v>975</v>
      </c>
      <c r="B290" s="6" t="s">
        <v>358</v>
      </c>
      <c r="C290" s="12" t="str">
        <f aca="false">IFERROR(INDEX(Colaboradores!$E:$E,MATCH(B290,Colaboradores!$A:$A,0)),"")</f>
        <v>CLEITON NAVAS</v>
      </c>
      <c r="D290" s="6" t="s">
        <v>524</v>
      </c>
      <c r="E290" s="12" t="str">
        <f aca="false">IFERROR(INDEX(Doc_Catalogo!$B:$B,MATCH(D290,Doc_Catalogo!$A:$A,0)),"")</f>
        <v>Certificado da NR10 — Colaborador</v>
      </c>
      <c r="F290" s="6"/>
      <c r="G290" s="17" t="n">
        <v>46884</v>
      </c>
      <c r="H290" s="12" t="str">
        <f aca="true">IF(G290="","N/A",IF(G290&lt;TODAY(),"VENCIDO",IF(G290&lt;=TODAY()+30,"VENCENDO","VALIDO")))</f>
        <v>VALIDO</v>
      </c>
      <c r="I290" s="6"/>
      <c r="J290" s="6"/>
    </row>
    <row r="291" customFormat="false" ht="15" hidden="false" customHeight="false" outlineLevel="0" collapsed="false">
      <c r="A291" s="6" t="s">
        <v>976</v>
      </c>
      <c r="B291" s="6" t="s">
        <v>358</v>
      </c>
      <c r="C291" s="12" t="str">
        <f aca="false">IFERROR(INDEX(Colaboradores!$E:$E,MATCH(B291,Colaboradores!$A:$A,0)),"")</f>
        <v>CLEITON NAVAS</v>
      </c>
      <c r="D291" s="6" t="s">
        <v>537</v>
      </c>
      <c r="E291" s="12" t="str">
        <f aca="false">IFERROR(INDEX(Doc_Catalogo!$B:$B,MATCH(D291,Doc_Catalogo!$A:$A,0)),"")</f>
        <v>Certificado da NR12 — Colaborador</v>
      </c>
      <c r="F291" s="6"/>
      <c r="G291" s="17" t="n">
        <v>46885</v>
      </c>
      <c r="H291" s="12" t="str">
        <f aca="true">IF(G291="","N/A",IF(G291&lt;TODAY(),"VENCIDO",IF(G291&lt;=TODAY()+30,"VENCENDO","VALIDO")))</f>
        <v>VALIDO</v>
      </c>
      <c r="I291" s="6"/>
      <c r="J291" s="6"/>
    </row>
    <row r="292" customFormat="false" ht="15" hidden="false" customHeight="false" outlineLevel="0" collapsed="false">
      <c r="A292" s="6" t="s">
        <v>977</v>
      </c>
      <c r="B292" s="6" t="s">
        <v>358</v>
      </c>
      <c r="C292" s="12" t="str">
        <f aca="false">IFERROR(INDEX(Colaboradores!$E:$E,MATCH(B292,Colaboradores!$A:$A,0)),"")</f>
        <v>CLEITON NAVAS</v>
      </c>
      <c r="D292" s="6" t="s">
        <v>549</v>
      </c>
      <c r="E292" s="12" t="str">
        <f aca="false">IFERROR(INDEX(Doc_Catalogo!$B:$B,MATCH(D292,Doc_Catalogo!$A:$A,0)),"")</f>
        <v>Certificado da NR18 — Colaborador</v>
      </c>
      <c r="F292" s="6"/>
      <c r="G292" s="17" t="n">
        <v>46884</v>
      </c>
      <c r="H292" s="12" t="str">
        <f aca="true">IF(G292="","N/A",IF(G292&lt;TODAY(),"VENCIDO",IF(G292&lt;=TODAY()+30,"VENCENDO","VALIDO")))</f>
        <v>VALIDO</v>
      </c>
      <c r="I292" s="6"/>
      <c r="J292" s="6"/>
    </row>
    <row r="293" customFormat="false" ht="15" hidden="false" customHeight="false" outlineLevel="0" collapsed="false">
      <c r="A293" s="6" t="s">
        <v>978</v>
      </c>
      <c r="B293" s="6" t="s">
        <v>361</v>
      </c>
      <c r="C293" s="12" t="str">
        <f aca="false">IFERROR(INDEX(Colaboradores!$E:$E,MATCH(B293,Colaboradores!$A:$A,0)),"")</f>
        <v>GESSE BATISTA</v>
      </c>
      <c r="D293" s="6" t="s">
        <v>501</v>
      </c>
      <c r="E293" s="12" t="str">
        <f aca="false">IFERROR(INDEX(Doc_Catalogo!$B:$B,MATCH(D293,Doc_Catalogo!$A:$A,0)),"")</f>
        <v>ASO</v>
      </c>
      <c r="F293" s="6"/>
      <c r="G293" s="17" t="n">
        <v>46207</v>
      </c>
      <c r="H293" s="12" t="str">
        <f aca="true">IF(G293="","N/A",IF(G293&lt;TODAY(),"VENCIDO",IF(G293&lt;=TODAY()+30,"VENCENDO","VALIDO")))</f>
        <v>VENCIDO</v>
      </c>
      <c r="I293" s="6"/>
      <c r="J293" s="6"/>
    </row>
    <row r="294" customFormat="false" ht="15" hidden="false" customHeight="false" outlineLevel="0" collapsed="false">
      <c r="A294" s="6" t="s">
        <v>979</v>
      </c>
      <c r="B294" s="6" t="s">
        <v>361</v>
      </c>
      <c r="C294" s="12" t="str">
        <f aca="false">IFERROR(INDEX(Colaboradores!$E:$E,MATCH(B294,Colaboradores!$A:$A,0)),"")</f>
        <v>GESSE BATISTA</v>
      </c>
      <c r="D294" s="6" t="s">
        <v>519</v>
      </c>
      <c r="E294" s="12" t="str">
        <f aca="false">IFERROR(INDEX(Doc_Catalogo!$B:$B,MATCH(D294,Doc_Catalogo!$A:$A,0)),"")</f>
        <v>Certificado da NR06 — Colaborador</v>
      </c>
      <c r="F294" s="6"/>
      <c r="G294" s="17" t="n">
        <v>46546</v>
      </c>
      <c r="H294" s="12" t="str">
        <f aca="true">IF(G294="","N/A",IF(G294&lt;TODAY(),"VENCIDO",IF(G294&lt;=TODAY()+30,"VENCENDO","VALIDO")))</f>
        <v>VALIDO</v>
      </c>
      <c r="I294" s="6"/>
      <c r="J294" s="6"/>
    </row>
    <row r="295" customFormat="false" ht="15" hidden="false" customHeight="false" outlineLevel="0" collapsed="false">
      <c r="A295" s="7" t="s">
        <v>980</v>
      </c>
      <c r="B295" s="7" t="s">
        <v>361</v>
      </c>
      <c r="C295" s="16" t="str">
        <f aca="false">IFERROR(INDEX(Colaboradores!$E:$E,MATCH(B295,Colaboradores!$A:$A,0)),"")</f>
        <v>GESSE BATISTA</v>
      </c>
      <c r="D295" s="7" t="s">
        <v>586</v>
      </c>
      <c r="E295" s="16" t="str">
        <f aca="false">IFERROR(INDEX(Doc_Catalogo!$B:$B,MATCH(D295,Doc_Catalogo!$A:$A,0)),"")</f>
        <v>Ordem de Servico</v>
      </c>
      <c r="F295" s="7"/>
      <c r="G295" s="13"/>
      <c r="H295" s="16" t="str">
        <f aca="true">IF(G295="","N/A",IF(G295&lt;TODAY(),"VENCIDO",IF(G295&lt;=TODAY()+30,"VENCENDO","VALIDO")))</f>
        <v>N/A</v>
      </c>
      <c r="I295" s="7"/>
      <c r="J295" s="7" t="s">
        <v>686</v>
      </c>
    </row>
    <row r="296" customFormat="false" ht="15" hidden="false" customHeight="false" outlineLevel="0" collapsed="false">
      <c r="A296" s="7" t="s">
        <v>981</v>
      </c>
      <c r="B296" s="7" t="s">
        <v>361</v>
      </c>
      <c r="C296" s="16" t="str">
        <f aca="false">IFERROR(INDEX(Colaboradores!$E:$E,MATCH(B296,Colaboradores!$A:$A,0)),"")</f>
        <v>GESSE BATISTA</v>
      </c>
      <c r="D296" s="7" t="s">
        <v>588</v>
      </c>
      <c r="E296" s="16" t="str">
        <f aca="false">IFERROR(INDEX(Doc_Catalogo!$B:$B,MATCH(D296,Doc_Catalogo!$A:$A,0)),"")</f>
        <v>Ficha de EPI Atualizada</v>
      </c>
      <c r="F296" s="7"/>
      <c r="G296" s="13"/>
      <c r="H296" s="16" t="str">
        <f aca="true">IF(G296="","N/A",IF(G296&lt;TODAY(),"VENCIDO",IF(G296&lt;=TODAY()+30,"VENCENDO","VALIDO")))</f>
        <v>N/A</v>
      </c>
      <c r="I296" s="7"/>
      <c r="J296" s="7" t="s">
        <v>686</v>
      </c>
    </row>
    <row r="297" customFormat="false" ht="15" hidden="false" customHeight="false" outlineLevel="0" collapsed="false">
      <c r="A297" s="6" t="s">
        <v>982</v>
      </c>
      <c r="B297" s="6" t="s">
        <v>364</v>
      </c>
      <c r="C297" s="12" t="str">
        <f aca="false">IFERROR(INDEX(Colaboradores!$E:$E,MATCH(B297,Colaboradores!$A:$A,0)),"")</f>
        <v>MAURICIO SANCHEZ</v>
      </c>
      <c r="D297" s="6" t="s">
        <v>498</v>
      </c>
      <c r="E297" s="12" t="str">
        <f aca="false">IFERROR(INDEX(Doc_Catalogo!$B:$B,MATCH(D297,Doc_Catalogo!$A:$A,0)),"")</f>
        <v>CNH</v>
      </c>
      <c r="F297" s="6"/>
      <c r="G297" s="17" t="n">
        <v>49607</v>
      </c>
      <c r="H297" s="12" t="str">
        <f aca="true">IF(G297="","N/A",IF(G297&lt;TODAY(),"VENCIDO",IF(G297&lt;=TODAY()+30,"VENCENDO","VALIDO")))</f>
        <v>VALIDO</v>
      </c>
      <c r="I297" s="6"/>
      <c r="J297" s="6"/>
    </row>
    <row r="298" customFormat="false" ht="15" hidden="false" customHeight="false" outlineLevel="0" collapsed="false">
      <c r="A298" s="6" t="s">
        <v>983</v>
      </c>
      <c r="B298" s="6" t="s">
        <v>364</v>
      </c>
      <c r="C298" s="12" t="str">
        <f aca="false">IFERROR(INDEX(Colaboradores!$E:$E,MATCH(B298,Colaboradores!$A:$A,0)),"")</f>
        <v>MAURICIO SANCHEZ</v>
      </c>
      <c r="D298" s="6" t="s">
        <v>501</v>
      </c>
      <c r="E298" s="12" t="str">
        <f aca="false">IFERROR(INDEX(Doc_Catalogo!$B:$B,MATCH(D298,Doc_Catalogo!$A:$A,0)),"")</f>
        <v>ASO</v>
      </c>
      <c r="F298" s="6"/>
      <c r="G298" s="17" t="n">
        <v>46339</v>
      </c>
      <c r="H298" s="12" t="str">
        <f aca="true">IF(G298="","N/A",IF(G298&lt;TODAY(),"VENCIDO",IF(G298&lt;=TODAY()+30,"VENCENDO","VALIDO")))</f>
        <v>VALIDO</v>
      </c>
      <c r="I298" s="6"/>
      <c r="J298" s="6"/>
    </row>
    <row r="299" customFormat="false" ht="15" hidden="false" customHeight="false" outlineLevel="0" collapsed="false">
      <c r="A299" s="6" t="s">
        <v>984</v>
      </c>
      <c r="B299" s="6" t="s">
        <v>364</v>
      </c>
      <c r="C299" s="12" t="str">
        <f aca="false">IFERROR(INDEX(Colaboradores!$E:$E,MATCH(B299,Colaboradores!$A:$A,0)),"")</f>
        <v>MAURICIO SANCHEZ</v>
      </c>
      <c r="D299" s="6" t="s">
        <v>519</v>
      </c>
      <c r="E299" s="12" t="str">
        <f aca="false">IFERROR(INDEX(Doc_Catalogo!$B:$B,MATCH(D299,Doc_Catalogo!$A:$A,0)),"")</f>
        <v>Certificado da NR06 — Colaborador</v>
      </c>
      <c r="F299" s="6"/>
      <c r="G299" s="17" t="n">
        <v>46049</v>
      </c>
      <c r="H299" s="12" t="str">
        <f aca="true">IF(G299="","N/A",IF(G299&lt;TODAY(),"VENCIDO",IF(G299&lt;=TODAY()+30,"VENCENDO","VALIDO")))</f>
        <v>VENCIDO</v>
      </c>
      <c r="I299" s="6"/>
      <c r="J299" s="6"/>
    </row>
    <row r="300" customFormat="false" ht="15" hidden="false" customHeight="false" outlineLevel="0" collapsed="false">
      <c r="A300" s="6" t="s">
        <v>985</v>
      </c>
      <c r="B300" s="6" t="s">
        <v>364</v>
      </c>
      <c r="C300" s="12" t="str">
        <f aca="false">IFERROR(INDEX(Colaboradores!$E:$E,MATCH(B300,Colaboradores!$A:$A,0)),"")</f>
        <v>MAURICIO SANCHEZ</v>
      </c>
      <c r="D300" s="6" t="s">
        <v>524</v>
      </c>
      <c r="E300" s="12" t="str">
        <f aca="false">IFERROR(INDEX(Doc_Catalogo!$B:$B,MATCH(D300,Doc_Catalogo!$A:$A,0)),"")</f>
        <v>Certificado da NR10 — Colaborador</v>
      </c>
      <c r="F300" s="6"/>
      <c r="G300" s="17" t="n">
        <v>46786</v>
      </c>
      <c r="H300" s="12" t="str">
        <f aca="true">IF(G300="","N/A",IF(G300&lt;TODAY(),"VENCIDO",IF(G300&lt;=TODAY()+30,"VENCENDO","VALIDO")))</f>
        <v>VALIDO</v>
      </c>
      <c r="I300" s="6"/>
      <c r="J300" s="6"/>
    </row>
    <row r="301" customFormat="false" ht="15" hidden="false" customHeight="false" outlineLevel="0" collapsed="false">
      <c r="A301" s="6" t="s">
        <v>986</v>
      </c>
      <c r="B301" s="6" t="s">
        <v>364</v>
      </c>
      <c r="C301" s="12" t="str">
        <f aca="false">IFERROR(INDEX(Colaboradores!$E:$E,MATCH(B301,Colaboradores!$A:$A,0)),"")</f>
        <v>MAURICIO SANCHEZ</v>
      </c>
      <c r="D301" s="6" t="s">
        <v>529</v>
      </c>
      <c r="E301" s="12" t="str">
        <f aca="false">IFERROR(INDEX(Doc_Catalogo!$B:$B,MATCH(D301,Doc_Catalogo!$A:$A,0)),"")</f>
        <v>Carta de anuencia (NR10) — Colaborador</v>
      </c>
      <c r="F301" s="6"/>
      <c r="G301" s="17" t="n">
        <v>46093</v>
      </c>
      <c r="H301" s="12" t="str">
        <f aca="true">IF(G301="","N/A",IF(G301&lt;TODAY(),"VENCIDO",IF(G301&lt;=TODAY()+30,"VENCENDO","VALIDO")))</f>
        <v>VENCIDO</v>
      </c>
      <c r="I301" s="6"/>
      <c r="J301" s="6"/>
    </row>
    <row r="302" customFormat="false" ht="15" hidden="false" customHeight="false" outlineLevel="0" collapsed="false">
      <c r="A302" s="6" t="s">
        <v>987</v>
      </c>
      <c r="B302" s="6" t="s">
        <v>364</v>
      </c>
      <c r="C302" s="12" t="str">
        <f aca="false">IFERROR(INDEX(Colaboradores!$E:$E,MATCH(B302,Colaboradores!$A:$A,0)),"")</f>
        <v>MAURICIO SANCHEZ</v>
      </c>
      <c r="D302" s="6" t="s">
        <v>537</v>
      </c>
      <c r="E302" s="12" t="str">
        <f aca="false">IFERROR(INDEX(Doc_Catalogo!$B:$B,MATCH(D302,Doc_Catalogo!$A:$A,0)),"")</f>
        <v>Certificado da NR12 — Colaborador</v>
      </c>
      <c r="F302" s="6"/>
      <c r="G302" s="17" t="n">
        <v>46799</v>
      </c>
      <c r="H302" s="12" t="str">
        <f aca="true">IF(G302="","N/A",IF(G302&lt;TODAY(),"VENCIDO",IF(G302&lt;=TODAY()+30,"VENCENDO","VALIDO")))</f>
        <v>VALIDO</v>
      </c>
      <c r="I302" s="6"/>
      <c r="J302" s="6"/>
    </row>
    <row r="303" customFormat="false" ht="15" hidden="false" customHeight="false" outlineLevel="0" collapsed="false">
      <c r="A303" s="6" t="s">
        <v>988</v>
      </c>
      <c r="B303" s="6" t="s">
        <v>364</v>
      </c>
      <c r="C303" s="12" t="str">
        <f aca="false">IFERROR(INDEX(Colaboradores!$E:$E,MATCH(B303,Colaboradores!$A:$A,0)),"")</f>
        <v>MAURICIO SANCHEZ</v>
      </c>
      <c r="D303" s="6" t="s">
        <v>549</v>
      </c>
      <c r="E303" s="12" t="str">
        <f aca="false">IFERROR(INDEX(Doc_Catalogo!$B:$B,MATCH(D303,Doc_Catalogo!$A:$A,0)),"")</f>
        <v>Certificado da NR18 — Colaborador</v>
      </c>
      <c r="F303" s="6"/>
      <c r="G303" s="17" t="n">
        <v>46833</v>
      </c>
      <c r="H303" s="12" t="str">
        <f aca="true">IF(G303="","N/A",IF(G303&lt;TODAY(),"VENCIDO",IF(G303&lt;=TODAY()+30,"VENCENDO","VALIDO")))</f>
        <v>VALIDO</v>
      </c>
      <c r="I303" s="6"/>
      <c r="J303" s="6"/>
    </row>
    <row r="304" customFormat="false" ht="15" hidden="false" customHeight="false" outlineLevel="0" collapsed="false">
      <c r="A304" s="6" t="s">
        <v>989</v>
      </c>
      <c r="B304" s="6" t="s">
        <v>364</v>
      </c>
      <c r="C304" s="12" t="str">
        <f aca="false">IFERROR(INDEX(Colaboradores!$E:$E,MATCH(B304,Colaboradores!$A:$A,0)),"")</f>
        <v>MAURICIO SANCHEZ</v>
      </c>
      <c r="D304" s="6" t="s">
        <v>565</v>
      </c>
      <c r="E304" s="12" t="str">
        <f aca="false">IFERROR(INDEX(Doc_Catalogo!$B:$B,MATCH(D304,Doc_Catalogo!$A:$A,0)),"")</f>
        <v>Certificado da NR35 — Colaborador</v>
      </c>
      <c r="F304" s="6"/>
      <c r="G304" s="17" t="n">
        <v>46801</v>
      </c>
      <c r="H304" s="12" t="str">
        <f aca="true">IF(G304="","N/A",IF(G304&lt;TODAY(),"VENCIDO",IF(G304&lt;=TODAY()+30,"VENCENDO","VALIDO")))</f>
        <v>VALIDO</v>
      </c>
      <c r="I304" s="6"/>
      <c r="J304" s="6"/>
    </row>
    <row r="305" customFormat="false" ht="15" hidden="false" customHeight="false" outlineLevel="0" collapsed="false">
      <c r="A305" s="6" t="s">
        <v>990</v>
      </c>
      <c r="B305" s="6" t="s">
        <v>364</v>
      </c>
      <c r="C305" s="12" t="str">
        <f aca="false">IFERROR(INDEX(Colaboradores!$E:$E,MATCH(B305,Colaboradores!$A:$A,0)),"")</f>
        <v>MAURICIO SANCHEZ</v>
      </c>
      <c r="D305" s="6" t="s">
        <v>569</v>
      </c>
      <c r="E305" s="12" t="str">
        <f aca="false">IFERROR(INDEX(Doc_Catalogo!$B:$B,MATCH(D305,Doc_Catalogo!$A:$A,0)),"")</f>
        <v>Carta de anuencia (NR35) — Colaborador</v>
      </c>
      <c r="F305" s="6"/>
      <c r="G305" s="17" t="n">
        <v>46801</v>
      </c>
      <c r="H305" s="12" t="str">
        <f aca="true">IF(G305="","N/A",IF(G305&lt;TODAY(),"VENCIDO",IF(G305&lt;=TODAY()+30,"VENCENDO","VALIDO")))</f>
        <v>VALIDO</v>
      </c>
      <c r="I305" s="6"/>
      <c r="J305" s="6"/>
    </row>
    <row r="306" customFormat="false" ht="15" hidden="false" customHeight="false" outlineLevel="0" collapsed="false">
      <c r="A306" s="7" t="s">
        <v>991</v>
      </c>
      <c r="B306" s="7" t="s">
        <v>364</v>
      </c>
      <c r="C306" s="16" t="str">
        <f aca="false">IFERROR(INDEX(Colaboradores!$E:$E,MATCH(B306,Colaboradores!$A:$A,0)),"")</f>
        <v>MAURICIO SANCHEZ</v>
      </c>
      <c r="D306" s="7" t="s">
        <v>577</v>
      </c>
      <c r="E306" s="16" t="str">
        <f aca="false">IFERROR(INDEX(Doc_Catalogo!$B:$B,MATCH(D306,Doc_Catalogo!$A:$A,0)),"")</f>
        <v>Contrato de Trabalho</v>
      </c>
      <c r="F306" s="7"/>
      <c r="G306" s="13"/>
      <c r="H306" s="16" t="str">
        <f aca="true">IF(G306="","N/A",IF(G306&lt;TODAY(),"VENCIDO",IF(G306&lt;=TODAY()+30,"VENCENDO","VALIDO")))</f>
        <v>N/A</v>
      </c>
      <c r="I306" s="7"/>
      <c r="J306" s="7" t="s">
        <v>686</v>
      </c>
    </row>
    <row r="307" customFormat="false" ht="15" hidden="false" customHeight="false" outlineLevel="0" collapsed="false">
      <c r="A307" s="7" t="s">
        <v>992</v>
      </c>
      <c r="B307" s="7" t="s">
        <v>364</v>
      </c>
      <c r="C307" s="16" t="str">
        <f aca="false">IFERROR(INDEX(Colaboradores!$E:$E,MATCH(B307,Colaboradores!$A:$A,0)),"")</f>
        <v>MAURICIO SANCHEZ</v>
      </c>
      <c r="D307" s="7" t="s">
        <v>586</v>
      </c>
      <c r="E307" s="16" t="str">
        <f aca="false">IFERROR(INDEX(Doc_Catalogo!$B:$B,MATCH(D307,Doc_Catalogo!$A:$A,0)),"")</f>
        <v>Ordem de Servico</v>
      </c>
      <c r="F307" s="7"/>
      <c r="G307" s="13"/>
      <c r="H307" s="16" t="str">
        <f aca="true">IF(G307="","N/A",IF(G307&lt;TODAY(),"VENCIDO",IF(G307&lt;=TODAY()+30,"VENCENDO","VALIDO")))</f>
        <v>N/A</v>
      </c>
      <c r="I307" s="7"/>
      <c r="J307" s="7" t="s">
        <v>686</v>
      </c>
    </row>
    <row r="308" customFormat="false" ht="15" hidden="false" customHeight="false" outlineLevel="0" collapsed="false">
      <c r="A308" s="7" t="s">
        <v>993</v>
      </c>
      <c r="B308" s="7" t="s">
        <v>364</v>
      </c>
      <c r="C308" s="16" t="str">
        <f aca="false">IFERROR(INDEX(Colaboradores!$E:$E,MATCH(B308,Colaboradores!$A:$A,0)),"")</f>
        <v>MAURICIO SANCHEZ</v>
      </c>
      <c r="D308" s="7" t="s">
        <v>588</v>
      </c>
      <c r="E308" s="16" t="str">
        <f aca="false">IFERROR(INDEX(Doc_Catalogo!$B:$B,MATCH(D308,Doc_Catalogo!$A:$A,0)),"")</f>
        <v>Ficha de EPI Atualizada</v>
      </c>
      <c r="F308" s="7"/>
      <c r="G308" s="13"/>
      <c r="H308" s="16" t="str">
        <f aca="true">IF(G308="","N/A",IF(G308&lt;TODAY(),"VENCIDO",IF(G308&lt;=TODAY()+30,"VENCENDO","VALIDO")))</f>
        <v>N/A</v>
      </c>
      <c r="I308" s="7"/>
      <c r="J308" s="7" t="s">
        <v>686</v>
      </c>
    </row>
    <row r="309" customFormat="false" ht="15" hidden="false" customHeight="false" outlineLevel="0" collapsed="false">
      <c r="A309" s="7" t="s">
        <v>994</v>
      </c>
      <c r="B309" s="7" t="s">
        <v>364</v>
      </c>
      <c r="C309" s="16" t="str">
        <f aca="false">IFERROR(INDEX(Colaboradores!$E:$E,MATCH(B309,Colaboradores!$A:$A,0)),"")</f>
        <v>MAURICIO SANCHEZ</v>
      </c>
      <c r="D309" s="7" t="s">
        <v>591</v>
      </c>
      <c r="E309" s="16" t="str">
        <f aca="false">IFERROR(INDEX(Doc_Catalogo!$B:$B,MATCH(D309,Doc_Catalogo!$A:$A,0)),"")</f>
        <v>Cartao de vacina (Tetano, Hepatite B e Febre amarela)</v>
      </c>
      <c r="F309" s="7"/>
      <c r="G309" s="13"/>
      <c r="H309" s="16" t="str">
        <f aca="true">IF(G309="","N/A",IF(G309&lt;TODAY(),"VENCIDO",IF(G309&lt;=TODAY()+30,"VENCENDO","VALIDO")))</f>
        <v>N/A</v>
      </c>
      <c r="I309" s="7"/>
      <c r="J309" s="7" t="s">
        <v>686</v>
      </c>
    </row>
  </sheetData>
  <dataValidations count="2">
    <dataValidation allowBlank="true" errorStyle="stop" operator="between" showDropDown="false" showErrorMessage="false" showInputMessage="false" sqref="B2:B709" type="list">
      <formula1>"COL-001,COL-002,COL-003,COL-004,COL-005,COL-006,COL-007,COL-008,COL-009,COL-010,COL-011,COL-012,COL-013,COL-014,COL-015,COL-016,COL-017,COL-018,COL-019,COL-020,COL-021,COL-022,COL-023,COL-024,COL-025,COL-026,COL-027,COL-028,COL-029,COL-030,COL-031,COL-032"</formula1>
      <formula2>0</formula2>
    </dataValidation>
    <dataValidation allowBlank="true" errorStyle="stop" operator="between" showDropDown="false" showErrorMessage="false" showInputMessage="false" sqref="D2:D709" type="list">
      <formula1>"DOC-001,DOC-002,DOC-003,DOC-004,DOC-007,DOC-009,DOC-011,DOC-013,DOC-015,DOC-017,DOC-019,DOC-021,DOC-023,DOC-025,DOC-027,DOC-029,DOC-031,DOC-033,DOC-034,DOC-035,DOC-036,DOC-037,DOC-038,DOC-039,DOC-040,DOC-041,DOC-042,DOC-043,DOC-044,DOC-045,DOC-046,DOC-047"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20"/>
    <col collapsed="false" customWidth="true" hidden="false" outlineLevel="0" max="6" min="6" style="0" width="30"/>
    <col collapsed="false" customWidth="true" hidden="false" outlineLevel="0" max="7" min="7" style="0" width="12"/>
    <col collapsed="false" customWidth="true" hidden="false" outlineLevel="0" max="8" min="8" style="0" width="36"/>
    <col collapsed="false" customWidth="true" hidden="false" outlineLevel="0" max="9" min="9" style="0" width="16"/>
    <col collapsed="false" customWidth="true" hidden="false" outlineLevel="0" max="10" min="10" style="0" width="55"/>
  </cols>
  <sheetData>
    <row r="1" customFormat="false" ht="30" hidden="false" customHeight="true" outlineLevel="0" collapsed="false">
      <c r="A1" s="5" t="s">
        <v>995</v>
      </c>
      <c r="B1" s="5" t="s">
        <v>441</v>
      </c>
      <c r="C1" s="5" t="s">
        <v>467</v>
      </c>
      <c r="D1" s="5" t="s">
        <v>996</v>
      </c>
      <c r="E1" s="5" t="s">
        <v>997</v>
      </c>
      <c r="F1" s="5" t="s">
        <v>433</v>
      </c>
      <c r="G1" s="5" t="s">
        <v>486</v>
      </c>
      <c r="H1" s="5" t="s">
        <v>681</v>
      </c>
      <c r="I1" s="5" t="s">
        <v>998</v>
      </c>
      <c r="J1" s="5" t="s">
        <v>32</v>
      </c>
    </row>
    <row r="2" customFormat="false" ht="15" hidden="false" customHeight="false" outlineLevel="0" collapsed="false">
      <c r="A2" s="6" t="s">
        <v>999</v>
      </c>
      <c r="B2" s="6" t="s">
        <v>448</v>
      </c>
      <c r="C2" s="12" t="str">
        <f aca="false">IFERROR(INDEX(Obras!$B:$B,MATCH(B2,Obras!$A:$A,0)),"")</f>
        <v>Metro SP</v>
      </c>
      <c r="D2" s="6" t="s">
        <v>1000</v>
      </c>
      <c r="E2" s="6" t="s">
        <v>171</v>
      </c>
      <c r="F2" s="12" t="str">
        <f aca="false">IFERROR(INDEX(Empresas!$D:$D,MATCH(E2,Empresas!$A:$A,0)),"")</f>
        <v>OLIVER ELEVADORES LTDA</v>
      </c>
      <c r="G2" s="6" t="s">
        <v>614</v>
      </c>
      <c r="H2" s="12" t="str">
        <f aca="false">IFERROR(INDEX(Doc_Catalogo!$B:$B,MATCH(G2,Doc_Catalogo!$A:$A,0)),"")</f>
        <v>Contrato Social</v>
      </c>
      <c r="I2" s="6" t="s">
        <v>1001</v>
      </c>
      <c r="J2" s="6"/>
    </row>
    <row r="3" customFormat="false" ht="15" hidden="false" customHeight="false" outlineLevel="0" collapsed="false">
      <c r="A3" s="6" t="s">
        <v>1002</v>
      </c>
      <c r="B3" s="6" t="s">
        <v>448</v>
      </c>
      <c r="C3" s="12" t="str">
        <f aca="false">IFERROR(INDEX(Obras!$B:$B,MATCH(B3,Obras!$A:$A,0)),"")</f>
        <v>Metro SP</v>
      </c>
      <c r="D3" s="6" t="s">
        <v>1000</v>
      </c>
      <c r="E3" s="6" t="s">
        <v>171</v>
      </c>
      <c r="F3" s="12" t="str">
        <f aca="false">IFERROR(INDEX(Empresas!$D:$D,MATCH(E3,Empresas!$A:$A,0)),"")</f>
        <v>OLIVER ELEVADORES LTDA</v>
      </c>
      <c r="G3" s="6" t="s">
        <v>616</v>
      </c>
      <c r="H3" s="12" t="str">
        <f aca="false">IFERROR(INDEX(Doc_Catalogo!$B:$B,MATCH(G3,Doc_Catalogo!$A:$A,0)),"")</f>
        <v>Inscricao Estadual / Municipal</v>
      </c>
      <c r="I3" s="6" t="s">
        <v>1003</v>
      </c>
      <c r="J3" s="6"/>
    </row>
    <row r="4" customFormat="false" ht="15" hidden="false" customHeight="false" outlineLevel="0" collapsed="false">
      <c r="A4" s="6" t="s">
        <v>1004</v>
      </c>
      <c r="B4" s="6" t="s">
        <v>448</v>
      </c>
      <c r="C4" s="12" t="str">
        <f aca="false">IFERROR(INDEX(Obras!$B:$B,MATCH(B4,Obras!$A:$A,0)),"")</f>
        <v>Metro SP</v>
      </c>
      <c r="D4" s="6" t="s">
        <v>1000</v>
      </c>
      <c r="E4" s="6" t="s">
        <v>171</v>
      </c>
      <c r="F4" s="12" t="str">
        <f aca="false">IFERROR(INDEX(Empresas!$D:$D,MATCH(E4,Empresas!$A:$A,0)),"")</f>
        <v>OLIVER ELEVADORES LTDA</v>
      </c>
      <c r="G4" s="6" t="s">
        <v>609</v>
      </c>
      <c r="H4" s="12" t="str">
        <f aca="false">IFERROR(INDEX(Doc_Catalogo!$B:$B,MATCH(G4,Doc_Catalogo!$A:$A,0)),"")</f>
        <v>PGR</v>
      </c>
      <c r="I4" s="6" t="s">
        <v>1001</v>
      </c>
      <c r="J4" s="6"/>
    </row>
    <row r="5" customFormat="false" ht="15" hidden="false" customHeight="false" outlineLevel="0" collapsed="false">
      <c r="A5" s="6" t="s">
        <v>1005</v>
      </c>
      <c r="B5" s="6" t="s">
        <v>448</v>
      </c>
      <c r="C5" s="12" t="str">
        <f aca="false">IFERROR(INDEX(Obras!$B:$B,MATCH(B5,Obras!$A:$A,0)),"")</f>
        <v>Metro SP</v>
      </c>
      <c r="D5" s="6" t="s">
        <v>1000</v>
      </c>
      <c r="E5" s="6" t="s">
        <v>171</v>
      </c>
      <c r="F5" s="12" t="str">
        <f aca="false">IFERROR(INDEX(Empresas!$D:$D,MATCH(E5,Empresas!$A:$A,0)),"")</f>
        <v>OLIVER ELEVADORES LTDA</v>
      </c>
      <c r="G5" s="6" t="s">
        <v>612</v>
      </c>
      <c r="H5" s="12" t="str">
        <f aca="false">IFERROR(INDEX(Doc_Catalogo!$B:$B,MATCH(G5,Doc_Catalogo!$A:$A,0)),"")</f>
        <v>PCMSO</v>
      </c>
      <c r="I5" s="6" t="s">
        <v>1001</v>
      </c>
      <c r="J5" s="6"/>
    </row>
    <row r="6" customFormat="false" ht="15" hidden="false" customHeight="false" outlineLevel="0" collapsed="false">
      <c r="A6" s="6" t="s">
        <v>1006</v>
      </c>
      <c r="B6" s="6" t="s">
        <v>448</v>
      </c>
      <c r="C6" s="12" t="str">
        <f aca="false">IFERROR(INDEX(Obras!$B:$B,MATCH(B6,Obras!$A:$A,0)),"")</f>
        <v>Metro SP</v>
      </c>
      <c r="D6" s="6" t="s">
        <v>1000</v>
      </c>
      <c r="E6" s="6" t="s">
        <v>171</v>
      </c>
      <c r="F6" s="12" t="str">
        <f aca="false">IFERROR(INDEX(Empresas!$D:$D,MATCH(E6,Empresas!$A:$A,0)),"")</f>
        <v>OLIVER ELEVADORES LTDA</v>
      </c>
      <c r="G6" s="6" t="s">
        <v>619</v>
      </c>
      <c r="H6" s="12" t="str">
        <f aca="false">IFERROR(INDEX(Doc_Catalogo!$B:$B,MATCH(G6,Doc_Catalogo!$A:$A,0)),"")</f>
        <v>APR — Analise Preliminar de Risco</v>
      </c>
      <c r="I6" s="6" t="s">
        <v>1003</v>
      </c>
      <c r="J6" s="6"/>
    </row>
    <row r="7" customFormat="false" ht="15" hidden="false" customHeight="false" outlineLevel="0" collapsed="false">
      <c r="A7" s="6" t="s">
        <v>1007</v>
      </c>
      <c r="B7" s="6" t="s">
        <v>448</v>
      </c>
      <c r="C7" s="12" t="str">
        <f aca="false">IFERROR(INDEX(Obras!$B:$B,MATCH(B7,Obras!$A:$A,0)),"")</f>
        <v>Metro SP</v>
      </c>
      <c r="D7" s="6" t="s">
        <v>1000</v>
      </c>
      <c r="E7" s="6" t="s">
        <v>171</v>
      </c>
      <c r="F7" s="12" t="str">
        <f aca="false">IFERROR(INDEX(Empresas!$D:$D,MATCH(E7,Empresas!$A:$A,0)),"")</f>
        <v>OLIVER ELEVADORES LTDA</v>
      </c>
      <c r="G7" s="6" t="s">
        <v>633</v>
      </c>
      <c r="H7" s="12" t="str">
        <f aca="false">IFERROR(INDEX(Doc_Catalogo!$B:$B,MATCH(G7,Doc_Catalogo!$A:$A,0)),"")</f>
        <v>Contrato de prestacao de servicos entre tomador e empreiteiro</v>
      </c>
      <c r="I7" s="6" t="s">
        <v>1001</v>
      </c>
      <c r="J7" s="6"/>
    </row>
    <row r="8" customFormat="false" ht="15" hidden="false" customHeight="false" outlineLevel="0" collapsed="false">
      <c r="A8" s="6" t="s">
        <v>1008</v>
      </c>
      <c r="B8" s="6" t="s">
        <v>448</v>
      </c>
      <c r="C8" s="12" t="str">
        <f aca="false">IFERROR(INDEX(Obras!$B:$B,MATCH(B8,Obras!$A:$A,0)),"")</f>
        <v>Metro SP</v>
      </c>
      <c r="D8" s="6" t="s">
        <v>1009</v>
      </c>
      <c r="E8" s="6" t="s">
        <v>271</v>
      </c>
      <c r="F8" s="12" t="str">
        <f aca="false">IFERROR(INDEX(Colaboradores!$E:$E,MATCH(E8,Colaboradores!$A:$A,0)),"")</f>
        <v>ANDERSON DA SILVA</v>
      </c>
      <c r="G8" s="6" t="s">
        <v>571</v>
      </c>
      <c r="H8" s="12" t="str">
        <f aca="false">IFERROR(INDEX(Doc_Catalogo!$B:$B,MATCH(G8,Doc_Catalogo!$A:$A,0)),"")</f>
        <v>Ficha de Registro</v>
      </c>
      <c r="I8" s="6" t="s">
        <v>1003</v>
      </c>
      <c r="J8" s="6"/>
    </row>
    <row r="9" customFormat="false" ht="15" hidden="false" customHeight="false" outlineLevel="0" collapsed="false">
      <c r="A9" s="6" t="s">
        <v>1010</v>
      </c>
      <c r="B9" s="6" t="s">
        <v>448</v>
      </c>
      <c r="C9" s="12" t="str">
        <f aca="false">IFERROR(INDEX(Obras!$B:$B,MATCH(B9,Obras!$A:$A,0)),"")</f>
        <v>Metro SP</v>
      </c>
      <c r="D9" s="6" t="s">
        <v>1009</v>
      </c>
      <c r="E9" s="6" t="s">
        <v>276</v>
      </c>
      <c r="F9" s="12" t="str">
        <f aca="false">IFERROR(INDEX(Colaboradores!$E:$E,MATCH(E9,Colaboradores!$A:$A,0)),"")</f>
        <v>WALISON TANDI AZEVEDO DE OLIVEIRA MELO</v>
      </c>
      <c r="G9" s="6" t="s">
        <v>571</v>
      </c>
      <c r="H9" s="12" t="str">
        <f aca="false">IFERROR(INDEX(Doc_Catalogo!$B:$B,MATCH(G9,Doc_Catalogo!$A:$A,0)),"")</f>
        <v>Ficha de Registro</v>
      </c>
      <c r="I9" s="6" t="s">
        <v>1003</v>
      </c>
      <c r="J9" s="6"/>
    </row>
    <row r="10" customFormat="false" ht="15" hidden="false" customHeight="false" outlineLevel="0" collapsed="false">
      <c r="A10" s="6" t="s">
        <v>1011</v>
      </c>
      <c r="B10" s="6" t="s">
        <v>448</v>
      </c>
      <c r="C10" s="12" t="str">
        <f aca="false">IFERROR(INDEX(Obras!$B:$B,MATCH(B10,Obras!$A:$A,0)),"")</f>
        <v>Metro SP</v>
      </c>
      <c r="D10" s="6" t="s">
        <v>1009</v>
      </c>
      <c r="E10" s="6" t="s">
        <v>271</v>
      </c>
      <c r="F10" s="12" t="str">
        <f aca="false">IFERROR(INDEX(Colaboradores!$E:$E,MATCH(E10,Colaboradores!$A:$A,0)),"")</f>
        <v>ANDERSON DA SILVA</v>
      </c>
      <c r="G10" s="6" t="s">
        <v>577</v>
      </c>
      <c r="H10" s="12" t="str">
        <f aca="false">IFERROR(INDEX(Doc_Catalogo!$B:$B,MATCH(G10,Doc_Catalogo!$A:$A,0)),"")</f>
        <v>Contrato de Trabalho</v>
      </c>
      <c r="I10" s="6" t="s">
        <v>1001</v>
      </c>
      <c r="J10" s="6"/>
    </row>
    <row r="11" customFormat="false" ht="15" hidden="false" customHeight="false" outlineLevel="0" collapsed="false">
      <c r="A11" s="6" t="s">
        <v>1012</v>
      </c>
      <c r="B11" s="6" t="s">
        <v>448</v>
      </c>
      <c r="C11" s="12" t="str">
        <f aca="false">IFERROR(INDEX(Obras!$B:$B,MATCH(B11,Obras!$A:$A,0)),"")</f>
        <v>Metro SP</v>
      </c>
      <c r="D11" s="6" t="s">
        <v>1009</v>
      </c>
      <c r="E11" s="6" t="s">
        <v>276</v>
      </c>
      <c r="F11" s="12" t="str">
        <f aca="false">IFERROR(INDEX(Colaboradores!$E:$E,MATCH(E11,Colaboradores!$A:$A,0)),"")</f>
        <v>WALISON TANDI AZEVEDO DE OLIVEIRA MELO</v>
      </c>
      <c r="G11" s="6" t="s">
        <v>577</v>
      </c>
      <c r="H11" s="12" t="str">
        <f aca="false">IFERROR(INDEX(Doc_Catalogo!$B:$B,MATCH(G11,Doc_Catalogo!$A:$A,0)),"")</f>
        <v>Contrato de Trabalho</v>
      </c>
      <c r="I11" s="6" t="s">
        <v>1001</v>
      </c>
      <c r="J11" s="6"/>
    </row>
    <row r="12" customFormat="false" ht="15" hidden="false" customHeight="false" outlineLevel="0" collapsed="false">
      <c r="A12" s="6" t="s">
        <v>1013</v>
      </c>
      <c r="B12" s="6" t="s">
        <v>448</v>
      </c>
      <c r="C12" s="12" t="str">
        <f aca="false">IFERROR(INDEX(Obras!$B:$B,MATCH(B12,Obras!$A:$A,0)),"")</f>
        <v>Metro SP</v>
      </c>
      <c r="D12" s="6" t="s">
        <v>1009</v>
      </c>
      <c r="E12" s="6" t="s">
        <v>271</v>
      </c>
      <c r="F12" s="12" t="str">
        <f aca="false">IFERROR(INDEX(Colaboradores!$E:$E,MATCH(E12,Colaboradores!$A:$A,0)),"")</f>
        <v>ANDERSON DA SILVA</v>
      </c>
      <c r="G12" s="6" t="s">
        <v>583</v>
      </c>
      <c r="H12" s="12" t="str">
        <f aca="false">IFERROR(INDEX(Doc_Catalogo!$B:$B,MATCH(G12,Doc_Catalogo!$A:$A,0)),"")</f>
        <v>CTPS Digital</v>
      </c>
      <c r="I12" s="6" t="s">
        <v>1003</v>
      </c>
      <c r="J12" s="6"/>
    </row>
    <row r="13" customFormat="false" ht="15" hidden="false" customHeight="false" outlineLevel="0" collapsed="false">
      <c r="A13" s="6" t="s">
        <v>1014</v>
      </c>
      <c r="B13" s="6" t="s">
        <v>448</v>
      </c>
      <c r="C13" s="12" t="str">
        <f aca="false">IFERROR(INDEX(Obras!$B:$B,MATCH(B13,Obras!$A:$A,0)),"")</f>
        <v>Metro SP</v>
      </c>
      <c r="D13" s="6" t="s">
        <v>1009</v>
      </c>
      <c r="E13" s="6" t="s">
        <v>276</v>
      </c>
      <c r="F13" s="12" t="str">
        <f aca="false">IFERROR(INDEX(Colaboradores!$E:$E,MATCH(E13,Colaboradores!$A:$A,0)),"")</f>
        <v>WALISON TANDI AZEVEDO DE OLIVEIRA MELO</v>
      </c>
      <c r="G13" s="6" t="s">
        <v>583</v>
      </c>
      <c r="H13" s="12" t="str">
        <f aca="false">IFERROR(INDEX(Doc_Catalogo!$B:$B,MATCH(G13,Doc_Catalogo!$A:$A,0)),"")</f>
        <v>CTPS Digital</v>
      </c>
      <c r="I13" s="6" t="s">
        <v>1003</v>
      </c>
      <c r="J13" s="6"/>
    </row>
    <row r="14" customFormat="false" ht="15" hidden="false" customHeight="false" outlineLevel="0" collapsed="false">
      <c r="A14" s="6" t="s">
        <v>1015</v>
      </c>
      <c r="B14" s="6" t="s">
        <v>448</v>
      </c>
      <c r="C14" s="12" t="str">
        <f aca="false">IFERROR(INDEX(Obras!$B:$B,MATCH(B14,Obras!$A:$A,0)),"")</f>
        <v>Metro SP</v>
      </c>
      <c r="D14" s="6" t="s">
        <v>1009</v>
      </c>
      <c r="E14" s="6" t="s">
        <v>271</v>
      </c>
      <c r="F14" s="12" t="str">
        <f aca="false">IFERROR(INDEX(Colaboradores!$E:$E,MATCH(E14,Colaboradores!$A:$A,0)),"")</f>
        <v>ANDERSON DA SILVA</v>
      </c>
      <c r="G14" s="6" t="s">
        <v>491</v>
      </c>
      <c r="H14" s="12" t="str">
        <f aca="false">IFERROR(INDEX(Doc_Catalogo!$B:$B,MATCH(G14,Doc_Catalogo!$A:$A,0)),"")</f>
        <v>RG</v>
      </c>
      <c r="I14" s="6" t="s">
        <v>1001</v>
      </c>
      <c r="J14" s="6"/>
    </row>
    <row r="15" customFormat="false" ht="15" hidden="false" customHeight="false" outlineLevel="0" collapsed="false">
      <c r="A15" s="7" t="s">
        <v>1016</v>
      </c>
      <c r="B15" s="7" t="s">
        <v>448</v>
      </c>
      <c r="C15" s="16" t="str">
        <f aca="false">IFERROR(INDEX(Obras!$B:$B,MATCH(B15,Obras!$A:$A,0)),"")</f>
        <v>Metro SP</v>
      </c>
      <c r="D15" s="7" t="s">
        <v>1009</v>
      </c>
      <c r="E15" s="7" t="s">
        <v>276</v>
      </c>
      <c r="F15" s="16" t="str">
        <f aca="false">IFERROR(INDEX(Colaboradores!$E:$E,MATCH(E15,Colaboradores!$A:$A,0)),"")</f>
        <v>WALISON TANDI AZEVEDO DE OLIVEIRA MELO</v>
      </c>
      <c r="G15" s="7" t="s">
        <v>491</v>
      </c>
      <c r="H15" s="16" t="str">
        <f aca="false">IFERROR(INDEX(Doc_Catalogo!$B:$B,MATCH(G15,Doc_Catalogo!$A:$A,0)),"")</f>
        <v>RG</v>
      </c>
      <c r="I15" s="7" t="s">
        <v>1017</v>
      </c>
      <c r="J15" s="7" t="s">
        <v>1018</v>
      </c>
    </row>
    <row r="16" customFormat="false" ht="15" hidden="false" customHeight="false" outlineLevel="0" collapsed="false">
      <c r="A16" s="7" t="s">
        <v>1019</v>
      </c>
      <c r="B16" s="7" t="s">
        <v>448</v>
      </c>
      <c r="C16" s="16" t="str">
        <f aca="false">IFERROR(INDEX(Obras!$B:$B,MATCH(B16,Obras!$A:$A,0)),"")</f>
        <v>Metro SP</v>
      </c>
      <c r="D16" s="7" t="s">
        <v>1009</v>
      </c>
      <c r="E16" s="7" t="s">
        <v>271</v>
      </c>
      <c r="F16" s="16" t="str">
        <f aca="false">IFERROR(INDEX(Colaboradores!$E:$E,MATCH(E16,Colaboradores!$A:$A,0)),"")</f>
        <v>ANDERSON DA SILVA</v>
      </c>
      <c r="G16" s="7" t="s">
        <v>496</v>
      </c>
      <c r="H16" s="16" t="str">
        <f aca="false">IFERROR(INDEX(Doc_Catalogo!$B:$B,MATCH(G16,Doc_Catalogo!$A:$A,0)),"")</f>
        <v>CPF</v>
      </c>
      <c r="I16" s="7" t="s">
        <v>1017</v>
      </c>
      <c r="J16" s="7" t="s">
        <v>1018</v>
      </c>
    </row>
    <row r="17" customFormat="false" ht="15" hidden="false" customHeight="false" outlineLevel="0" collapsed="false">
      <c r="A17" s="7" t="s">
        <v>1020</v>
      </c>
      <c r="B17" s="7" t="s">
        <v>448</v>
      </c>
      <c r="C17" s="16" t="str">
        <f aca="false">IFERROR(INDEX(Obras!$B:$B,MATCH(B17,Obras!$A:$A,0)),"")</f>
        <v>Metro SP</v>
      </c>
      <c r="D17" s="7" t="s">
        <v>1009</v>
      </c>
      <c r="E17" s="7" t="s">
        <v>276</v>
      </c>
      <c r="F17" s="16" t="str">
        <f aca="false">IFERROR(INDEX(Colaboradores!$E:$E,MATCH(E17,Colaboradores!$A:$A,0)),"")</f>
        <v>WALISON TANDI AZEVEDO DE OLIVEIRA MELO</v>
      </c>
      <c r="G17" s="7" t="s">
        <v>496</v>
      </c>
      <c r="H17" s="16" t="str">
        <f aca="false">IFERROR(INDEX(Doc_Catalogo!$B:$B,MATCH(G17,Doc_Catalogo!$A:$A,0)),"")</f>
        <v>CPF</v>
      </c>
      <c r="I17" s="7" t="s">
        <v>1017</v>
      </c>
      <c r="J17" s="7" t="s">
        <v>1018</v>
      </c>
    </row>
    <row r="18" customFormat="false" ht="15" hidden="false" customHeight="false" outlineLevel="0" collapsed="false">
      <c r="A18" s="6" t="s">
        <v>1021</v>
      </c>
      <c r="B18" s="6" t="s">
        <v>448</v>
      </c>
      <c r="C18" s="12" t="str">
        <f aca="false">IFERROR(INDEX(Obras!$B:$B,MATCH(B18,Obras!$A:$A,0)),"")</f>
        <v>Metro SP</v>
      </c>
      <c r="D18" s="6" t="s">
        <v>1009</v>
      </c>
      <c r="E18" s="6" t="s">
        <v>271</v>
      </c>
      <c r="F18" s="12" t="str">
        <f aca="false">IFERROR(INDEX(Colaboradores!$E:$E,MATCH(E18,Colaboradores!$A:$A,0)),"")</f>
        <v>ANDERSON DA SILVA</v>
      </c>
      <c r="G18" s="6" t="s">
        <v>586</v>
      </c>
      <c r="H18" s="12" t="str">
        <f aca="false">IFERROR(INDEX(Doc_Catalogo!$B:$B,MATCH(G18,Doc_Catalogo!$A:$A,0)),"")</f>
        <v>Ordem de Servico</v>
      </c>
      <c r="I18" s="6" t="s">
        <v>1001</v>
      </c>
      <c r="J18" s="6"/>
    </row>
    <row r="19" customFormat="false" ht="15" hidden="false" customHeight="false" outlineLevel="0" collapsed="false">
      <c r="A19" s="6" t="s">
        <v>1022</v>
      </c>
      <c r="B19" s="6" t="s">
        <v>448</v>
      </c>
      <c r="C19" s="12" t="str">
        <f aca="false">IFERROR(INDEX(Obras!$B:$B,MATCH(B19,Obras!$A:$A,0)),"")</f>
        <v>Metro SP</v>
      </c>
      <c r="D19" s="6" t="s">
        <v>1009</v>
      </c>
      <c r="E19" s="6" t="s">
        <v>276</v>
      </c>
      <c r="F19" s="12" t="str">
        <f aca="false">IFERROR(INDEX(Colaboradores!$E:$E,MATCH(E19,Colaboradores!$A:$A,0)),"")</f>
        <v>WALISON TANDI AZEVEDO DE OLIVEIRA MELO</v>
      </c>
      <c r="G19" s="6" t="s">
        <v>586</v>
      </c>
      <c r="H19" s="12" t="str">
        <f aca="false">IFERROR(INDEX(Doc_Catalogo!$B:$B,MATCH(G19,Doc_Catalogo!$A:$A,0)),"")</f>
        <v>Ordem de Servico</v>
      </c>
      <c r="I19" s="6" t="s">
        <v>1001</v>
      </c>
      <c r="J19" s="6"/>
    </row>
    <row r="20" customFormat="false" ht="15" hidden="false" customHeight="false" outlineLevel="0" collapsed="false">
      <c r="A20" s="6" t="s">
        <v>1023</v>
      </c>
      <c r="B20" s="6" t="s">
        <v>448</v>
      </c>
      <c r="C20" s="12" t="str">
        <f aca="false">IFERROR(INDEX(Obras!$B:$B,MATCH(B20,Obras!$A:$A,0)),"")</f>
        <v>Metro SP</v>
      </c>
      <c r="D20" s="6" t="s">
        <v>1009</v>
      </c>
      <c r="E20" s="6" t="s">
        <v>271</v>
      </c>
      <c r="F20" s="12" t="str">
        <f aca="false">IFERROR(INDEX(Colaboradores!$E:$E,MATCH(E20,Colaboradores!$A:$A,0)),"")</f>
        <v>ANDERSON DA SILVA</v>
      </c>
      <c r="G20" s="6" t="s">
        <v>588</v>
      </c>
      <c r="H20" s="12" t="str">
        <f aca="false">IFERROR(INDEX(Doc_Catalogo!$B:$B,MATCH(G20,Doc_Catalogo!$A:$A,0)),"")</f>
        <v>Ficha de EPI Atualizada</v>
      </c>
      <c r="I20" s="6" t="s">
        <v>1001</v>
      </c>
      <c r="J20" s="6"/>
    </row>
    <row r="21" customFormat="false" ht="15" hidden="false" customHeight="false" outlineLevel="0" collapsed="false">
      <c r="A21" s="6" t="s">
        <v>1024</v>
      </c>
      <c r="B21" s="6" t="s">
        <v>448</v>
      </c>
      <c r="C21" s="12" t="str">
        <f aca="false">IFERROR(INDEX(Obras!$B:$B,MATCH(B21,Obras!$A:$A,0)),"")</f>
        <v>Metro SP</v>
      </c>
      <c r="D21" s="6" t="s">
        <v>1009</v>
      </c>
      <c r="E21" s="6" t="s">
        <v>276</v>
      </c>
      <c r="F21" s="12" t="str">
        <f aca="false">IFERROR(INDEX(Colaboradores!$E:$E,MATCH(E21,Colaboradores!$A:$A,0)),"")</f>
        <v>WALISON TANDI AZEVEDO DE OLIVEIRA MELO</v>
      </c>
      <c r="G21" s="6" t="s">
        <v>588</v>
      </c>
      <c r="H21" s="12" t="str">
        <f aca="false">IFERROR(INDEX(Doc_Catalogo!$B:$B,MATCH(G21,Doc_Catalogo!$A:$A,0)),"")</f>
        <v>Ficha de EPI Atualizada</v>
      </c>
      <c r="I21" s="6" t="s">
        <v>1001</v>
      </c>
      <c r="J21" s="6"/>
    </row>
    <row r="22" customFormat="false" ht="15" hidden="false" customHeight="false" outlineLevel="0" collapsed="false">
      <c r="A22" s="6" t="s">
        <v>1025</v>
      </c>
      <c r="B22" s="6" t="s">
        <v>448</v>
      </c>
      <c r="C22" s="12" t="str">
        <f aca="false">IFERROR(INDEX(Obras!$B:$B,MATCH(B22,Obras!$A:$A,0)),"")</f>
        <v>Metro SP</v>
      </c>
      <c r="D22" s="6" t="s">
        <v>1009</v>
      </c>
      <c r="E22" s="6" t="s">
        <v>271</v>
      </c>
      <c r="F22" s="12" t="str">
        <f aca="false">IFERROR(INDEX(Colaboradores!$E:$E,MATCH(E22,Colaboradores!$A:$A,0)),"")</f>
        <v>ANDERSON DA SILVA</v>
      </c>
      <c r="G22" s="6" t="s">
        <v>501</v>
      </c>
      <c r="H22" s="12" t="str">
        <f aca="false">IFERROR(INDEX(Doc_Catalogo!$B:$B,MATCH(G22,Doc_Catalogo!$A:$A,0)),"")</f>
        <v>ASO</v>
      </c>
      <c r="I22" s="6" t="s">
        <v>1001</v>
      </c>
      <c r="J22" s="6"/>
    </row>
    <row r="23" customFormat="false" ht="15" hidden="false" customHeight="false" outlineLevel="0" collapsed="false">
      <c r="A23" s="6" t="s">
        <v>1026</v>
      </c>
      <c r="B23" s="6" t="s">
        <v>448</v>
      </c>
      <c r="C23" s="12" t="str">
        <f aca="false">IFERROR(INDEX(Obras!$B:$B,MATCH(B23,Obras!$A:$A,0)),"")</f>
        <v>Metro SP</v>
      </c>
      <c r="D23" s="6" t="s">
        <v>1009</v>
      </c>
      <c r="E23" s="6" t="s">
        <v>276</v>
      </c>
      <c r="F23" s="12" t="str">
        <f aca="false">IFERROR(INDEX(Colaboradores!$E:$E,MATCH(E23,Colaboradores!$A:$A,0)),"")</f>
        <v>WALISON TANDI AZEVEDO DE OLIVEIRA MELO</v>
      </c>
      <c r="G23" s="6" t="s">
        <v>501</v>
      </c>
      <c r="H23" s="12" t="str">
        <f aca="false">IFERROR(INDEX(Doc_Catalogo!$B:$B,MATCH(G23,Doc_Catalogo!$A:$A,0)),"")</f>
        <v>ASO</v>
      </c>
      <c r="I23" s="6" t="s">
        <v>1001</v>
      </c>
      <c r="J23" s="6"/>
    </row>
    <row r="24" customFormat="false" ht="15" hidden="false" customHeight="false" outlineLevel="0" collapsed="false">
      <c r="A24" s="6" t="s">
        <v>1027</v>
      </c>
      <c r="B24" s="6" t="s">
        <v>448</v>
      </c>
      <c r="C24" s="12" t="str">
        <f aca="false">IFERROR(INDEX(Obras!$B:$B,MATCH(B24,Obras!$A:$A,0)),"")</f>
        <v>Metro SP</v>
      </c>
      <c r="D24" s="6" t="s">
        <v>1009</v>
      </c>
      <c r="E24" s="6" t="s">
        <v>271</v>
      </c>
      <c r="F24" s="12" t="str">
        <f aca="false">IFERROR(INDEX(Colaboradores!$E:$E,MATCH(E24,Colaboradores!$A:$A,0)),"")</f>
        <v>ANDERSON DA SILVA</v>
      </c>
      <c r="G24" s="6" t="s">
        <v>524</v>
      </c>
      <c r="H24" s="12" t="str">
        <f aca="false">IFERROR(INDEX(Doc_Catalogo!$B:$B,MATCH(G24,Doc_Catalogo!$A:$A,0)),"")</f>
        <v>Certificado da NR10 — Colaborador</v>
      </c>
      <c r="I24" s="6" t="s">
        <v>1017</v>
      </c>
      <c r="J24" s="6"/>
    </row>
    <row r="25" customFormat="false" ht="15" hidden="false" customHeight="false" outlineLevel="0" collapsed="false">
      <c r="A25" s="6" t="s">
        <v>1028</v>
      </c>
      <c r="B25" s="6" t="s">
        <v>448</v>
      </c>
      <c r="C25" s="12" t="str">
        <f aca="false">IFERROR(INDEX(Obras!$B:$B,MATCH(B25,Obras!$A:$A,0)),"")</f>
        <v>Metro SP</v>
      </c>
      <c r="D25" s="6" t="s">
        <v>1009</v>
      </c>
      <c r="E25" s="6" t="s">
        <v>276</v>
      </c>
      <c r="F25" s="12" t="str">
        <f aca="false">IFERROR(INDEX(Colaboradores!$E:$E,MATCH(E25,Colaboradores!$A:$A,0)),"")</f>
        <v>WALISON TANDI AZEVEDO DE OLIVEIRA MELO</v>
      </c>
      <c r="G25" s="6" t="s">
        <v>524</v>
      </c>
      <c r="H25" s="12" t="str">
        <f aca="false">IFERROR(INDEX(Doc_Catalogo!$B:$B,MATCH(G25,Doc_Catalogo!$A:$A,0)),"")</f>
        <v>Certificado da NR10 — Colaborador</v>
      </c>
      <c r="I25" s="6" t="s">
        <v>1001</v>
      </c>
      <c r="J25" s="6"/>
    </row>
    <row r="26" customFormat="false" ht="15" hidden="false" customHeight="false" outlineLevel="0" collapsed="false">
      <c r="A26" s="6" t="s">
        <v>1029</v>
      </c>
      <c r="B26" s="6" t="s">
        <v>448</v>
      </c>
      <c r="C26" s="12" t="str">
        <f aca="false">IFERROR(INDEX(Obras!$B:$B,MATCH(B26,Obras!$A:$A,0)),"")</f>
        <v>Metro SP</v>
      </c>
      <c r="D26" s="6" t="s">
        <v>1009</v>
      </c>
      <c r="E26" s="6" t="s">
        <v>271</v>
      </c>
      <c r="F26" s="12" t="str">
        <f aca="false">IFERROR(INDEX(Colaboradores!$E:$E,MATCH(E26,Colaboradores!$A:$A,0)),"")</f>
        <v>ANDERSON DA SILVA</v>
      </c>
      <c r="G26" s="6" t="s">
        <v>537</v>
      </c>
      <c r="H26" s="12" t="str">
        <f aca="false">IFERROR(INDEX(Doc_Catalogo!$B:$B,MATCH(G26,Doc_Catalogo!$A:$A,0)),"")</f>
        <v>Certificado da NR12 — Colaborador</v>
      </c>
      <c r="I26" s="6" t="s">
        <v>1001</v>
      </c>
      <c r="J26" s="6"/>
    </row>
    <row r="27" customFormat="false" ht="15" hidden="false" customHeight="false" outlineLevel="0" collapsed="false">
      <c r="A27" s="6" t="s">
        <v>1030</v>
      </c>
      <c r="B27" s="6" t="s">
        <v>448</v>
      </c>
      <c r="C27" s="12" t="str">
        <f aca="false">IFERROR(INDEX(Obras!$B:$B,MATCH(B27,Obras!$A:$A,0)),"")</f>
        <v>Metro SP</v>
      </c>
      <c r="D27" s="6" t="s">
        <v>1009</v>
      </c>
      <c r="E27" s="6" t="s">
        <v>276</v>
      </c>
      <c r="F27" s="12" t="str">
        <f aca="false">IFERROR(INDEX(Colaboradores!$E:$E,MATCH(E27,Colaboradores!$A:$A,0)),"")</f>
        <v>WALISON TANDI AZEVEDO DE OLIVEIRA MELO</v>
      </c>
      <c r="G27" s="6" t="s">
        <v>537</v>
      </c>
      <c r="H27" s="12" t="str">
        <f aca="false">IFERROR(INDEX(Doc_Catalogo!$B:$B,MATCH(G27,Doc_Catalogo!$A:$A,0)),"")</f>
        <v>Certificado da NR12 — Colaborador</v>
      </c>
      <c r="I27" s="6" t="s">
        <v>1001</v>
      </c>
      <c r="J27" s="6"/>
    </row>
    <row r="28" customFormat="false" ht="15" hidden="false" customHeight="false" outlineLevel="0" collapsed="false">
      <c r="A28" s="6" t="s">
        <v>1031</v>
      </c>
      <c r="B28" s="6" t="s">
        <v>448</v>
      </c>
      <c r="C28" s="12" t="str">
        <f aca="false">IFERROR(INDEX(Obras!$B:$B,MATCH(B28,Obras!$A:$A,0)),"")</f>
        <v>Metro SP</v>
      </c>
      <c r="D28" s="6" t="s">
        <v>1009</v>
      </c>
      <c r="E28" s="6" t="s">
        <v>271</v>
      </c>
      <c r="F28" s="12" t="str">
        <f aca="false">IFERROR(INDEX(Colaboradores!$E:$E,MATCH(E28,Colaboradores!$A:$A,0)),"")</f>
        <v>ANDERSON DA SILVA</v>
      </c>
      <c r="G28" s="6" t="s">
        <v>549</v>
      </c>
      <c r="H28" s="12" t="str">
        <f aca="false">IFERROR(INDEX(Doc_Catalogo!$B:$B,MATCH(G28,Doc_Catalogo!$A:$A,0)),"")</f>
        <v>Certificado da NR18 — Colaborador</v>
      </c>
      <c r="I28" s="6" t="s">
        <v>1001</v>
      </c>
      <c r="J28" s="6"/>
    </row>
    <row r="29" customFormat="false" ht="15" hidden="false" customHeight="false" outlineLevel="0" collapsed="false">
      <c r="A29" s="6" t="s">
        <v>1032</v>
      </c>
      <c r="B29" s="6" t="s">
        <v>448</v>
      </c>
      <c r="C29" s="12" t="str">
        <f aca="false">IFERROR(INDEX(Obras!$B:$B,MATCH(B29,Obras!$A:$A,0)),"")</f>
        <v>Metro SP</v>
      </c>
      <c r="D29" s="6" t="s">
        <v>1009</v>
      </c>
      <c r="E29" s="6" t="s">
        <v>276</v>
      </c>
      <c r="F29" s="12" t="str">
        <f aca="false">IFERROR(INDEX(Colaboradores!$E:$E,MATCH(E29,Colaboradores!$A:$A,0)),"")</f>
        <v>WALISON TANDI AZEVEDO DE OLIVEIRA MELO</v>
      </c>
      <c r="G29" s="6" t="s">
        <v>549</v>
      </c>
      <c r="H29" s="12" t="str">
        <f aca="false">IFERROR(INDEX(Doc_Catalogo!$B:$B,MATCH(G29,Doc_Catalogo!$A:$A,0)),"")</f>
        <v>Certificado da NR18 — Colaborador</v>
      </c>
      <c r="I29" s="6" t="s">
        <v>1001</v>
      </c>
      <c r="J29" s="6"/>
    </row>
    <row r="30" customFormat="false" ht="15" hidden="false" customHeight="false" outlineLevel="0" collapsed="false">
      <c r="A30" s="6" t="s">
        <v>1033</v>
      </c>
      <c r="B30" s="6" t="s">
        <v>448</v>
      </c>
      <c r="C30" s="12" t="str">
        <f aca="false">IFERROR(INDEX(Obras!$B:$B,MATCH(B30,Obras!$A:$A,0)),"")</f>
        <v>Metro SP</v>
      </c>
      <c r="D30" s="6" t="s">
        <v>1009</v>
      </c>
      <c r="E30" s="6" t="s">
        <v>271</v>
      </c>
      <c r="F30" s="12" t="str">
        <f aca="false">IFERROR(INDEX(Colaboradores!$E:$E,MATCH(E30,Colaboradores!$A:$A,0)),"")</f>
        <v>ANDERSON DA SILVA</v>
      </c>
      <c r="G30" s="6" t="s">
        <v>553</v>
      </c>
      <c r="H30" s="12" t="str">
        <f aca="false">IFERROR(INDEX(Doc_Catalogo!$B:$B,MATCH(G30,Doc_Catalogo!$A:$A,0)),"")</f>
        <v>Certificado da NR33 — Colaborador</v>
      </c>
      <c r="I30" s="6" t="s">
        <v>1001</v>
      </c>
      <c r="J30" s="6"/>
    </row>
    <row r="31" customFormat="false" ht="15" hidden="false" customHeight="false" outlineLevel="0" collapsed="false">
      <c r="A31" s="6" t="s">
        <v>1034</v>
      </c>
      <c r="B31" s="6" t="s">
        <v>448</v>
      </c>
      <c r="C31" s="12" t="str">
        <f aca="false">IFERROR(INDEX(Obras!$B:$B,MATCH(B31,Obras!$A:$A,0)),"")</f>
        <v>Metro SP</v>
      </c>
      <c r="D31" s="6" t="s">
        <v>1009</v>
      </c>
      <c r="E31" s="6" t="s">
        <v>276</v>
      </c>
      <c r="F31" s="12" t="str">
        <f aca="false">IFERROR(INDEX(Colaboradores!$E:$E,MATCH(E31,Colaboradores!$A:$A,0)),"")</f>
        <v>WALISON TANDI AZEVEDO DE OLIVEIRA MELO</v>
      </c>
      <c r="G31" s="6" t="s">
        <v>553</v>
      </c>
      <c r="H31" s="12" t="str">
        <f aca="false">IFERROR(INDEX(Doc_Catalogo!$B:$B,MATCH(G31,Doc_Catalogo!$A:$A,0)),"")</f>
        <v>Certificado da NR33 — Colaborador</v>
      </c>
      <c r="I31" s="6" t="s">
        <v>1001</v>
      </c>
      <c r="J31" s="6"/>
    </row>
    <row r="32" customFormat="false" ht="15" hidden="false" customHeight="false" outlineLevel="0" collapsed="false">
      <c r="A32" s="6" t="s">
        <v>1035</v>
      </c>
      <c r="B32" s="6" t="s">
        <v>448</v>
      </c>
      <c r="C32" s="12" t="str">
        <f aca="false">IFERROR(INDEX(Obras!$B:$B,MATCH(B32,Obras!$A:$A,0)),"")</f>
        <v>Metro SP</v>
      </c>
      <c r="D32" s="6" t="s">
        <v>1009</v>
      </c>
      <c r="E32" s="6" t="s">
        <v>271</v>
      </c>
      <c r="F32" s="12" t="str">
        <f aca="false">IFERROR(INDEX(Colaboradores!$E:$E,MATCH(E32,Colaboradores!$A:$A,0)),"")</f>
        <v>ANDERSON DA SILVA</v>
      </c>
      <c r="G32" s="6" t="s">
        <v>565</v>
      </c>
      <c r="H32" s="12" t="str">
        <f aca="false">IFERROR(INDEX(Doc_Catalogo!$B:$B,MATCH(G32,Doc_Catalogo!$A:$A,0)),"")</f>
        <v>Certificado da NR35 — Colaborador</v>
      </c>
      <c r="I32" s="6" t="s">
        <v>1001</v>
      </c>
      <c r="J32" s="6"/>
    </row>
    <row r="33" customFormat="false" ht="15" hidden="false" customHeight="false" outlineLevel="0" collapsed="false">
      <c r="A33" s="6" t="s">
        <v>1036</v>
      </c>
      <c r="B33" s="6" t="s">
        <v>448</v>
      </c>
      <c r="C33" s="12" t="str">
        <f aca="false">IFERROR(INDEX(Obras!$B:$B,MATCH(B33,Obras!$A:$A,0)),"")</f>
        <v>Metro SP</v>
      </c>
      <c r="D33" s="6" t="s">
        <v>1009</v>
      </c>
      <c r="E33" s="6" t="s">
        <v>276</v>
      </c>
      <c r="F33" s="12" t="str">
        <f aca="false">IFERROR(INDEX(Colaboradores!$E:$E,MATCH(E33,Colaboradores!$A:$A,0)),"")</f>
        <v>WALISON TANDI AZEVEDO DE OLIVEIRA MELO</v>
      </c>
      <c r="G33" s="6" t="s">
        <v>565</v>
      </c>
      <c r="H33" s="12" t="str">
        <f aca="false">IFERROR(INDEX(Doc_Catalogo!$B:$B,MATCH(G33,Doc_Catalogo!$A:$A,0)),"")</f>
        <v>Certificado da NR35 — Colaborador</v>
      </c>
      <c r="I33" s="6" t="s">
        <v>1017</v>
      </c>
      <c r="J33" s="6"/>
    </row>
    <row r="34" customFormat="false" ht="15" hidden="false" customHeight="false" outlineLevel="0" collapsed="false">
      <c r="A34" s="6" t="s">
        <v>1037</v>
      </c>
      <c r="B34" s="6" t="s">
        <v>448</v>
      </c>
      <c r="C34" s="12" t="str">
        <f aca="false">IFERROR(INDEX(Obras!$B:$B,MATCH(B34,Obras!$A:$A,0)),"")</f>
        <v>Metro SP</v>
      </c>
      <c r="D34" s="6" t="s">
        <v>1009</v>
      </c>
      <c r="E34" s="6" t="s">
        <v>271</v>
      </c>
      <c r="F34" s="12" t="str">
        <f aca="false">IFERROR(INDEX(Colaboradores!$E:$E,MATCH(E34,Colaboradores!$A:$A,0)),"")</f>
        <v>ANDERSON DA SILVA</v>
      </c>
      <c r="G34" s="6" t="s">
        <v>591</v>
      </c>
      <c r="H34" s="12" t="str">
        <f aca="false">IFERROR(INDEX(Doc_Catalogo!$B:$B,MATCH(G34,Doc_Catalogo!$A:$A,0)),"")</f>
        <v>Cartao de vacina (Tetano, Hepatite B e Febre amarela)</v>
      </c>
      <c r="I34" s="6" t="s">
        <v>1017</v>
      </c>
      <c r="J34" s="6"/>
    </row>
    <row r="35" customFormat="false" ht="15" hidden="false" customHeight="false" outlineLevel="0" collapsed="false">
      <c r="A35" s="6" t="s">
        <v>1038</v>
      </c>
      <c r="B35" s="6" t="s">
        <v>448</v>
      </c>
      <c r="C35" s="12" t="str">
        <f aca="false">IFERROR(INDEX(Obras!$B:$B,MATCH(B35,Obras!$A:$A,0)),"")</f>
        <v>Metro SP</v>
      </c>
      <c r="D35" s="6" t="s">
        <v>1009</v>
      </c>
      <c r="E35" s="6" t="s">
        <v>276</v>
      </c>
      <c r="F35" s="12" t="str">
        <f aca="false">IFERROR(INDEX(Colaboradores!$E:$E,MATCH(E35,Colaboradores!$A:$A,0)),"")</f>
        <v>WALISON TANDI AZEVEDO DE OLIVEIRA MELO</v>
      </c>
      <c r="G35" s="6" t="s">
        <v>591</v>
      </c>
      <c r="H35" s="12" t="str">
        <f aca="false">IFERROR(INDEX(Doc_Catalogo!$B:$B,MATCH(G35,Doc_Catalogo!$A:$A,0)),"")</f>
        <v>Cartao de vacina (Tetano, Hepatite B e Febre amarela)</v>
      </c>
      <c r="I35" s="6" t="s">
        <v>1001</v>
      </c>
      <c r="J35" s="6"/>
    </row>
    <row r="36" customFormat="false" ht="15" hidden="false" customHeight="false" outlineLevel="0" collapsed="false">
      <c r="A36" s="6" t="s">
        <v>1039</v>
      </c>
      <c r="B36" s="6" t="s">
        <v>451</v>
      </c>
      <c r="C36" s="12" t="str">
        <f aca="false">IFERROR(INDEX(Obras!$B:$B,MATCH(B36,Obras!$A:$A,0)),"")</f>
        <v>Metro BH</v>
      </c>
      <c r="D36" s="6" t="s">
        <v>1009</v>
      </c>
      <c r="E36" s="6" t="s">
        <v>299</v>
      </c>
      <c r="F36" s="12" t="str">
        <f aca="false">IFERROR(INDEX(Colaboradores!$E:$E,MATCH(E36,Colaboradores!$A:$A,0)),"")</f>
        <v>AVANY MAIA DOS REIS</v>
      </c>
      <c r="G36" s="6" t="s">
        <v>501</v>
      </c>
      <c r="H36" s="12" t="str">
        <f aca="false">IFERROR(INDEX(Doc_Catalogo!$B:$B,MATCH(G36,Doc_Catalogo!$A:$A,0)),"")</f>
        <v>ASO</v>
      </c>
      <c r="I36" s="6" t="s">
        <v>1001</v>
      </c>
      <c r="J36" s="6"/>
    </row>
    <row r="37" customFormat="false" ht="15" hidden="false" customHeight="false" outlineLevel="0" collapsed="false">
      <c r="A37" s="6" t="s">
        <v>1040</v>
      </c>
      <c r="B37" s="6" t="s">
        <v>451</v>
      </c>
      <c r="C37" s="12" t="str">
        <f aca="false">IFERROR(INDEX(Obras!$B:$B,MATCH(B37,Obras!$A:$A,0)),"")</f>
        <v>Metro BH</v>
      </c>
      <c r="D37" s="6" t="s">
        <v>1009</v>
      </c>
      <c r="E37" s="6" t="s">
        <v>299</v>
      </c>
      <c r="F37" s="12" t="str">
        <f aca="false">IFERROR(INDEX(Colaboradores!$E:$E,MATCH(E37,Colaboradores!$A:$A,0)),"")</f>
        <v>AVANY MAIA DOS REIS</v>
      </c>
      <c r="G37" s="6" t="s">
        <v>586</v>
      </c>
      <c r="H37" s="12" t="str">
        <f aca="false">IFERROR(INDEX(Doc_Catalogo!$B:$B,MATCH(G37,Doc_Catalogo!$A:$A,0)),"")</f>
        <v>Ordem de Servico</v>
      </c>
      <c r="I37" s="6" t="s">
        <v>1001</v>
      </c>
      <c r="J37" s="6"/>
    </row>
    <row r="38" customFormat="false" ht="15" hidden="false" customHeight="false" outlineLevel="0" collapsed="false">
      <c r="A38" s="6" t="s">
        <v>1041</v>
      </c>
      <c r="B38" s="6" t="s">
        <v>451</v>
      </c>
      <c r="C38" s="12" t="str">
        <f aca="false">IFERROR(INDEX(Obras!$B:$B,MATCH(B38,Obras!$A:$A,0)),"")</f>
        <v>Metro BH</v>
      </c>
      <c r="D38" s="6" t="s">
        <v>1009</v>
      </c>
      <c r="E38" s="6" t="s">
        <v>299</v>
      </c>
      <c r="F38" s="12" t="str">
        <f aca="false">IFERROR(INDEX(Colaboradores!$E:$E,MATCH(E38,Colaboradores!$A:$A,0)),"")</f>
        <v>AVANY MAIA DOS REIS</v>
      </c>
      <c r="G38" s="6" t="s">
        <v>588</v>
      </c>
      <c r="H38" s="12" t="str">
        <f aca="false">IFERROR(INDEX(Doc_Catalogo!$B:$B,MATCH(G38,Doc_Catalogo!$A:$A,0)),"")</f>
        <v>Ficha de EPI Atualizada</v>
      </c>
      <c r="I38" s="6" t="s">
        <v>1001</v>
      </c>
      <c r="J38" s="6"/>
    </row>
    <row r="39" customFormat="false" ht="15" hidden="false" customHeight="false" outlineLevel="0" collapsed="false">
      <c r="A39" s="6" t="s">
        <v>1042</v>
      </c>
      <c r="B39" s="6" t="s">
        <v>451</v>
      </c>
      <c r="C39" s="12" t="str">
        <f aca="false">IFERROR(INDEX(Obras!$B:$B,MATCH(B39,Obras!$A:$A,0)),"")</f>
        <v>Metro BH</v>
      </c>
      <c r="D39" s="6" t="s">
        <v>1009</v>
      </c>
      <c r="E39" s="6" t="s">
        <v>299</v>
      </c>
      <c r="F39" s="12" t="str">
        <f aca="false">IFERROR(INDEX(Colaboradores!$E:$E,MATCH(E39,Colaboradores!$A:$A,0)),"")</f>
        <v>AVANY MAIA DOS REIS</v>
      </c>
      <c r="G39" s="6" t="s">
        <v>513</v>
      </c>
      <c r="H39" s="12" t="str">
        <f aca="false">IFERROR(INDEX(Doc_Catalogo!$B:$B,MATCH(G39,Doc_Catalogo!$A:$A,0)),"")</f>
        <v>Certificado da NR01 — Colaborador</v>
      </c>
      <c r="I39" s="6" t="s">
        <v>1017</v>
      </c>
      <c r="J39" s="6"/>
    </row>
    <row r="40" customFormat="false" ht="15" hidden="false" customHeight="false" outlineLevel="0" collapsed="false">
      <c r="A40" s="6" t="s">
        <v>1043</v>
      </c>
      <c r="B40" s="6" t="s">
        <v>451</v>
      </c>
      <c r="C40" s="12" t="str">
        <f aca="false">IFERROR(INDEX(Obras!$B:$B,MATCH(B40,Obras!$A:$A,0)),"")</f>
        <v>Metro BH</v>
      </c>
      <c r="D40" s="6" t="s">
        <v>1009</v>
      </c>
      <c r="E40" s="6" t="s">
        <v>299</v>
      </c>
      <c r="F40" s="12" t="str">
        <f aca="false">IFERROR(INDEX(Colaboradores!$E:$E,MATCH(E40,Colaboradores!$A:$A,0)),"")</f>
        <v>AVANY MAIA DOS REIS</v>
      </c>
      <c r="G40" s="6" t="s">
        <v>519</v>
      </c>
      <c r="H40" s="12" t="str">
        <f aca="false">IFERROR(INDEX(Doc_Catalogo!$B:$B,MATCH(G40,Doc_Catalogo!$A:$A,0)),"")</f>
        <v>Certificado da NR06 — Colaborador</v>
      </c>
      <c r="I40" s="6" t="s">
        <v>1001</v>
      </c>
      <c r="J40" s="6"/>
    </row>
    <row r="41" customFormat="false" ht="15" hidden="false" customHeight="false" outlineLevel="0" collapsed="false">
      <c r="A41" s="7" t="s">
        <v>1044</v>
      </c>
      <c r="B41" s="7" t="s">
        <v>451</v>
      </c>
      <c r="C41" s="16" t="str">
        <f aca="false">IFERROR(INDEX(Obras!$B:$B,MATCH(B41,Obras!$A:$A,0)),"")</f>
        <v>Metro BH</v>
      </c>
      <c r="D41" s="7" t="s">
        <v>1009</v>
      </c>
      <c r="E41" s="7" t="s">
        <v>299</v>
      </c>
      <c r="F41" s="16" t="str">
        <f aca="false">IFERROR(INDEX(Colaboradores!$E:$E,MATCH(E41,Colaboradores!$A:$A,0)),"")</f>
        <v>AVANY MAIA DOS REIS</v>
      </c>
      <c r="G41" s="7" t="s">
        <v>583</v>
      </c>
      <c r="H41" s="16" t="str">
        <f aca="false">IFERROR(INDEX(Doc_Catalogo!$B:$B,MATCH(G41,Doc_Catalogo!$A:$A,0)),"")</f>
        <v>CTPS Digital</v>
      </c>
      <c r="I41" s="7" t="s">
        <v>1017</v>
      </c>
      <c r="J41" s="7" t="s">
        <v>1045</v>
      </c>
    </row>
    <row r="42" customFormat="false" ht="15" hidden="false" customHeight="false" outlineLevel="0" collapsed="false">
      <c r="A42" s="6" t="s">
        <v>1046</v>
      </c>
      <c r="B42" s="6" t="s">
        <v>451</v>
      </c>
      <c r="C42" s="12" t="str">
        <f aca="false">IFERROR(INDEX(Obras!$B:$B,MATCH(B42,Obras!$A:$A,0)),"")</f>
        <v>Metro BH</v>
      </c>
      <c r="D42" s="6" t="s">
        <v>1009</v>
      </c>
      <c r="E42" s="6" t="s">
        <v>299</v>
      </c>
      <c r="F42" s="12" t="str">
        <f aca="false">IFERROR(INDEX(Colaboradores!$E:$E,MATCH(E42,Colaboradores!$A:$A,0)),"")</f>
        <v>AVANY MAIA DOS REIS</v>
      </c>
      <c r="G42" s="6" t="s">
        <v>571</v>
      </c>
      <c r="H42" s="12" t="str">
        <f aca="false">IFERROR(INDEX(Doc_Catalogo!$B:$B,MATCH(G42,Doc_Catalogo!$A:$A,0)),"")</f>
        <v>Ficha de Registro</v>
      </c>
      <c r="I42" s="6" t="s">
        <v>1001</v>
      </c>
      <c r="J42" s="6"/>
    </row>
    <row r="43" customFormat="false" ht="15" hidden="false" customHeight="false" outlineLevel="0" collapsed="false">
      <c r="A43" s="6" t="s">
        <v>1047</v>
      </c>
      <c r="B43" s="6" t="s">
        <v>451</v>
      </c>
      <c r="C43" s="12" t="str">
        <f aca="false">IFERROR(INDEX(Obras!$B:$B,MATCH(B43,Obras!$A:$A,0)),"")</f>
        <v>Metro BH</v>
      </c>
      <c r="D43" s="6" t="s">
        <v>1009</v>
      </c>
      <c r="E43" s="6" t="s">
        <v>299</v>
      </c>
      <c r="F43" s="12" t="str">
        <f aca="false">IFERROR(INDEX(Colaboradores!$E:$E,MATCH(E43,Colaboradores!$A:$A,0)),"")</f>
        <v>AVANY MAIA DOS REIS</v>
      </c>
      <c r="G43" s="6" t="s">
        <v>524</v>
      </c>
      <c r="H43" s="12" t="str">
        <f aca="false">IFERROR(INDEX(Doc_Catalogo!$B:$B,MATCH(G43,Doc_Catalogo!$A:$A,0)),"")</f>
        <v>Certificado da NR10 — Colaborador</v>
      </c>
      <c r="I43" s="6" t="s">
        <v>1001</v>
      </c>
      <c r="J43" s="6"/>
    </row>
    <row r="44" customFormat="false" ht="15" hidden="false" customHeight="false" outlineLevel="0" collapsed="false">
      <c r="A44" s="6" t="s">
        <v>1048</v>
      </c>
      <c r="B44" s="6" t="s">
        <v>451</v>
      </c>
      <c r="C44" s="12" t="str">
        <f aca="false">IFERROR(INDEX(Obras!$B:$B,MATCH(B44,Obras!$A:$A,0)),"")</f>
        <v>Metro BH</v>
      </c>
      <c r="D44" s="6" t="s">
        <v>1009</v>
      </c>
      <c r="E44" s="6" t="s">
        <v>299</v>
      </c>
      <c r="F44" s="12" t="str">
        <f aca="false">IFERROR(INDEX(Colaboradores!$E:$E,MATCH(E44,Colaboradores!$A:$A,0)),"")</f>
        <v>AVANY MAIA DOS REIS</v>
      </c>
      <c r="G44" s="6" t="s">
        <v>533</v>
      </c>
      <c r="H44" s="12" t="str">
        <f aca="false">IFERROR(INDEX(Doc_Catalogo!$B:$B,MATCH(G44,Doc_Catalogo!$A:$A,0)),"")</f>
        <v>Certificado da NR11 — Colaborador</v>
      </c>
      <c r="I44" s="6" t="s">
        <v>1017</v>
      </c>
      <c r="J44" s="6"/>
    </row>
    <row r="45" customFormat="false" ht="15" hidden="false" customHeight="false" outlineLevel="0" collapsed="false">
      <c r="A45" s="6" t="s">
        <v>1049</v>
      </c>
      <c r="B45" s="6" t="s">
        <v>451</v>
      </c>
      <c r="C45" s="12" t="str">
        <f aca="false">IFERROR(INDEX(Obras!$B:$B,MATCH(B45,Obras!$A:$A,0)),"")</f>
        <v>Metro BH</v>
      </c>
      <c r="D45" s="6" t="s">
        <v>1009</v>
      </c>
      <c r="E45" s="6" t="s">
        <v>299</v>
      </c>
      <c r="F45" s="12" t="str">
        <f aca="false">IFERROR(INDEX(Colaboradores!$E:$E,MATCH(E45,Colaboradores!$A:$A,0)),"")</f>
        <v>AVANY MAIA DOS REIS</v>
      </c>
      <c r="G45" s="6" t="s">
        <v>537</v>
      </c>
      <c r="H45" s="12" t="str">
        <f aca="false">IFERROR(INDEX(Doc_Catalogo!$B:$B,MATCH(G45,Doc_Catalogo!$A:$A,0)),"")</f>
        <v>Certificado da NR12 — Colaborador</v>
      </c>
      <c r="I45" s="6" t="s">
        <v>1001</v>
      </c>
      <c r="J45" s="6"/>
    </row>
    <row r="46" customFormat="false" ht="15" hidden="false" customHeight="false" outlineLevel="0" collapsed="false">
      <c r="A46" s="6" t="s">
        <v>1050</v>
      </c>
      <c r="B46" s="6" t="s">
        <v>451</v>
      </c>
      <c r="C46" s="12" t="str">
        <f aca="false">IFERROR(INDEX(Obras!$B:$B,MATCH(B46,Obras!$A:$A,0)),"")</f>
        <v>Metro BH</v>
      </c>
      <c r="D46" s="6" t="s">
        <v>1009</v>
      </c>
      <c r="E46" s="6" t="s">
        <v>299</v>
      </c>
      <c r="F46" s="12" t="str">
        <f aca="false">IFERROR(INDEX(Colaboradores!$E:$E,MATCH(E46,Colaboradores!$A:$A,0)),"")</f>
        <v>AVANY MAIA DOS REIS</v>
      </c>
      <c r="G46" s="6" t="s">
        <v>549</v>
      </c>
      <c r="H46" s="12" t="str">
        <f aca="false">IFERROR(INDEX(Doc_Catalogo!$B:$B,MATCH(G46,Doc_Catalogo!$A:$A,0)),"")</f>
        <v>Certificado da NR18 — Colaborador</v>
      </c>
      <c r="I46" s="6" t="s">
        <v>1001</v>
      </c>
      <c r="J46" s="6"/>
    </row>
    <row r="47" customFormat="false" ht="15" hidden="false" customHeight="false" outlineLevel="0" collapsed="false">
      <c r="A47" s="6" t="s">
        <v>1051</v>
      </c>
      <c r="B47" s="6" t="s">
        <v>451</v>
      </c>
      <c r="C47" s="12" t="str">
        <f aca="false">IFERROR(INDEX(Obras!$B:$B,MATCH(B47,Obras!$A:$A,0)),"")</f>
        <v>Metro BH</v>
      </c>
      <c r="D47" s="6" t="s">
        <v>1009</v>
      </c>
      <c r="E47" s="6" t="s">
        <v>299</v>
      </c>
      <c r="F47" s="12" t="str">
        <f aca="false">IFERROR(INDEX(Colaboradores!$E:$E,MATCH(E47,Colaboradores!$A:$A,0)),"")</f>
        <v>AVANY MAIA DOS REIS</v>
      </c>
      <c r="G47" s="6" t="s">
        <v>553</v>
      </c>
      <c r="H47" s="12" t="str">
        <f aca="false">IFERROR(INDEX(Doc_Catalogo!$B:$B,MATCH(G47,Doc_Catalogo!$A:$A,0)),"")</f>
        <v>Certificado da NR33 — Colaborador</v>
      </c>
      <c r="I47" s="6" t="s">
        <v>1001</v>
      </c>
      <c r="J47" s="6"/>
    </row>
    <row r="48" customFormat="false" ht="15" hidden="false" customHeight="false" outlineLevel="0" collapsed="false">
      <c r="A48" s="6" t="s">
        <v>1052</v>
      </c>
      <c r="B48" s="6" t="s">
        <v>451</v>
      </c>
      <c r="C48" s="12" t="str">
        <f aca="false">IFERROR(INDEX(Obras!$B:$B,MATCH(B48,Obras!$A:$A,0)),"")</f>
        <v>Metro BH</v>
      </c>
      <c r="D48" s="6" t="s">
        <v>1009</v>
      </c>
      <c r="E48" s="6" t="s">
        <v>299</v>
      </c>
      <c r="F48" s="12" t="str">
        <f aca="false">IFERROR(INDEX(Colaboradores!$E:$E,MATCH(E48,Colaboradores!$A:$A,0)),"")</f>
        <v>AVANY MAIA DOS REIS</v>
      </c>
      <c r="G48" s="6" t="s">
        <v>565</v>
      </c>
      <c r="H48" s="12" t="str">
        <f aca="false">IFERROR(INDEX(Doc_Catalogo!$B:$B,MATCH(G48,Doc_Catalogo!$A:$A,0)),"")</f>
        <v>Certificado da NR35 — Colaborador</v>
      </c>
      <c r="I48" s="6" t="s">
        <v>1001</v>
      </c>
      <c r="J48" s="6"/>
    </row>
    <row r="49" customFormat="false" ht="15" hidden="false" customHeight="false" outlineLevel="0" collapsed="false">
      <c r="A49" s="6" t="s">
        <v>1053</v>
      </c>
      <c r="B49" s="6" t="s">
        <v>451</v>
      </c>
      <c r="C49" s="12" t="str">
        <f aca="false">IFERROR(INDEX(Obras!$B:$B,MATCH(B49,Obras!$A:$A,0)),"")</f>
        <v>Metro BH</v>
      </c>
      <c r="D49" s="6" t="s">
        <v>1009</v>
      </c>
      <c r="E49" s="6" t="s">
        <v>308</v>
      </c>
      <c r="F49" s="12" t="str">
        <f aca="false">IFERROR(INDEX(Colaboradores!$E:$E,MATCH(E49,Colaboradores!$A:$A,0)),"")</f>
        <v>DANIEL APARECIDO DOS REIS FELICIANO</v>
      </c>
      <c r="G49" s="6" t="s">
        <v>501</v>
      </c>
      <c r="H49" s="12" t="str">
        <f aca="false">IFERROR(INDEX(Doc_Catalogo!$B:$B,MATCH(G49,Doc_Catalogo!$A:$A,0)),"")</f>
        <v>ASO</v>
      </c>
      <c r="I49" s="6" t="s">
        <v>1001</v>
      </c>
      <c r="J49" s="6"/>
    </row>
    <row r="50" customFormat="false" ht="15" hidden="false" customHeight="false" outlineLevel="0" collapsed="false">
      <c r="A50" s="6" t="s">
        <v>1054</v>
      </c>
      <c r="B50" s="6" t="s">
        <v>451</v>
      </c>
      <c r="C50" s="12" t="str">
        <f aca="false">IFERROR(INDEX(Obras!$B:$B,MATCH(B50,Obras!$A:$A,0)),"")</f>
        <v>Metro BH</v>
      </c>
      <c r="D50" s="6" t="s">
        <v>1009</v>
      </c>
      <c r="E50" s="6" t="s">
        <v>308</v>
      </c>
      <c r="F50" s="12" t="str">
        <f aca="false">IFERROR(INDEX(Colaboradores!$E:$E,MATCH(E50,Colaboradores!$A:$A,0)),"")</f>
        <v>DANIEL APARECIDO DOS REIS FELICIANO</v>
      </c>
      <c r="G50" s="6" t="s">
        <v>586</v>
      </c>
      <c r="H50" s="12" t="str">
        <f aca="false">IFERROR(INDEX(Doc_Catalogo!$B:$B,MATCH(G50,Doc_Catalogo!$A:$A,0)),"")</f>
        <v>Ordem de Servico</v>
      </c>
      <c r="I50" s="6" t="s">
        <v>1001</v>
      </c>
      <c r="J50" s="6"/>
    </row>
    <row r="51" customFormat="false" ht="15" hidden="false" customHeight="false" outlineLevel="0" collapsed="false">
      <c r="A51" s="6" t="s">
        <v>1055</v>
      </c>
      <c r="B51" s="6" t="s">
        <v>451</v>
      </c>
      <c r="C51" s="12" t="str">
        <f aca="false">IFERROR(INDEX(Obras!$B:$B,MATCH(B51,Obras!$A:$A,0)),"")</f>
        <v>Metro BH</v>
      </c>
      <c r="D51" s="6" t="s">
        <v>1009</v>
      </c>
      <c r="E51" s="6" t="s">
        <v>308</v>
      </c>
      <c r="F51" s="12" t="str">
        <f aca="false">IFERROR(INDEX(Colaboradores!$E:$E,MATCH(E51,Colaboradores!$A:$A,0)),"")</f>
        <v>DANIEL APARECIDO DOS REIS FELICIANO</v>
      </c>
      <c r="G51" s="6" t="s">
        <v>588</v>
      </c>
      <c r="H51" s="12" t="str">
        <f aca="false">IFERROR(INDEX(Doc_Catalogo!$B:$B,MATCH(G51,Doc_Catalogo!$A:$A,0)),"")</f>
        <v>Ficha de EPI Atualizada</v>
      </c>
      <c r="I51" s="6" t="s">
        <v>1001</v>
      </c>
      <c r="J51" s="6"/>
    </row>
    <row r="52" customFormat="false" ht="15" hidden="false" customHeight="false" outlineLevel="0" collapsed="false">
      <c r="A52" s="6" t="s">
        <v>1056</v>
      </c>
      <c r="B52" s="6" t="s">
        <v>451</v>
      </c>
      <c r="C52" s="12" t="str">
        <f aca="false">IFERROR(INDEX(Obras!$B:$B,MATCH(B52,Obras!$A:$A,0)),"")</f>
        <v>Metro BH</v>
      </c>
      <c r="D52" s="6" t="s">
        <v>1009</v>
      </c>
      <c r="E52" s="6" t="s">
        <v>308</v>
      </c>
      <c r="F52" s="12" t="str">
        <f aca="false">IFERROR(INDEX(Colaboradores!$E:$E,MATCH(E52,Colaboradores!$A:$A,0)),"")</f>
        <v>DANIEL APARECIDO DOS REIS FELICIANO</v>
      </c>
      <c r="G52" s="6" t="s">
        <v>513</v>
      </c>
      <c r="H52" s="12" t="str">
        <f aca="false">IFERROR(INDEX(Doc_Catalogo!$B:$B,MATCH(G52,Doc_Catalogo!$A:$A,0)),"")</f>
        <v>Certificado da NR01 — Colaborador</v>
      </c>
      <c r="I52" s="6" t="s">
        <v>1017</v>
      </c>
      <c r="J52" s="6"/>
    </row>
    <row r="53" customFormat="false" ht="15" hidden="false" customHeight="false" outlineLevel="0" collapsed="false">
      <c r="A53" s="6" t="s">
        <v>1057</v>
      </c>
      <c r="B53" s="6" t="s">
        <v>451</v>
      </c>
      <c r="C53" s="12" t="str">
        <f aca="false">IFERROR(INDEX(Obras!$B:$B,MATCH(B53,Obras!$A:$A,0)),"")</f>
        <v>Metro BH</v>
      </c>
      <c r="D53" s="6" t="s">
        <v>1009</v>
      </c>
      <c r="E53" s="6" t="s">
        <v>308</v>
      </c>
      <c r="F53" s="12" t="str">
        <f aca="false">IFERROR(INDEX(Colaboradores!$E:$E,MATCH(E53,Colaboradores!$A:$A,0)),"")</f>
        <v>DANIEL APARECIDO DOS REIS FELICIANO</v>
      </c>
      <c r="G53" s="6" t="s">
        <v>519</v>
      </c>
      <c r="H53" s="12" t="str">
        <f aca="false">IFERROR(INDEX(Doc_Catalogo!$B:$B,MATCH(G53,Doc_Catalogo!$A:$A,0)),"")</f>
        <v>Certificado da NR06 — Colaborador</v>
      </c>
      <c r="I53" s="6" t="s">
        <v>1001</v>
      </c>
      <c r="J53" s="6"/>
    </row>
    <row r="54" customFormat="false" ht="15" hidden="false" customHeight="false" outlineLevel="0" collapsed="false">
      <c r="A54" s="7" t="s">
        <v>1058</v>
      </c>
      <c r="B54" s="7" t="s">
        <v>451</v>
      </c>
      <c r="C54" s="16" t="str">
        <f aca="false">IFERROR(INDEX(Obras!$B:$B,MATCH(B54,Obras!$A:$A,0)),"")</f>
        <v>Metro BH</v>
      </c>
      <c r="D54" s="7" t="s">
        <v>1009</v>
      </c>
      <c r="E54" s="7" t="s">
        <v>308</v>
      </c>
      <c r="F54" s="16" t="str">
        <f aca="false">IFERROR(INDEX(Colaboradores!$E:$E,MATCH(E54,Colaboradores!$A:$A,0)),"")</f>
        <v>DANIEL APARECIDO DOS REIS FELICIANO</v>
      </c>
      <c r="G54" s="7" t="s">
        <v>583</v>
      </c>
      <c r="H54" s="16" t="str">
        <f aca="false">IFERROR(INDEX(Doc_Catalogo!$B:$B,MATCH(G54,Doc_Catalogo!$A:$A,0)),"")</f>
        <v>CTPS Digital</v>
      </c>
      <c r="I54" s="7" t="s">
        <v>1017</v>
      </c>
      <c r="J54" s="7" t="s">
        <v>1045</v>
      </c>
    </row>
    <row r="55" customFormat="false" ht="15" hidden="false" customHeight="false" outlineLevel="0" collapsed="false">
      <c r="A55" s="6" t="s">
        <v>1059</v>
      </c>
      <c r="B55" s="6" t="s">
        <v>451</v>
      </c>
      <c r="C55" s="12" t="str">
        <f aca="false">IFERROR(INDEX(Obras!$B:$B,MATCH(B55,Obras!$A:$A,0)),"")</f>
        <v>Metro BH</v>
      </c>
      <c r="D55" s="6" t="s">
        <v>1009</v>
      </c>
      <c r="E55" s="6" t="s">
        <v>308</v>
      </c>
      <c r="F55" s="12" t="str">
        <f aca="false">IFERROR(INDEX(Colaboradores!$E:$E,MATCH(E55,Colaboradores!$A:$A,0)),"")</f>
        <v>DANIEL APARECIDO DOS REIS FELICIANO</v>
      </c>
      <c r="G55" s="6" t="s">
        <v>571</v>
      </c>
      <c r="H55" s="12" t="str">
        <f aca="false">IFERROR(INDEX(Doc_Catalogo!$B:$B,MATCH(G55,Doc_Catalogo!$A:$A,0)),"")</f>
        <v>Ficha de Registro</v>
      </c>
      <c r="I55" s="6" t="s">
        <v>1001</v>
      </c>
      <c r="J55" s="6"/>
    </row>
    <row r="56" customFormat="false" ht="15" hidden="false" customHeight="false" outlineLevel="0" collapsed="false">
      <c r="A56" s="6" t="s">
        <v>1060</v>
      </c>
      <c r="B56" s="6" t="s">
        <v>451</v>
      </c>
      <c r="C56" s="12" t="str">
        <f aca="false">IFERROR(INDEX(Obras!$B:$B,MATCH(B56,Obras!$A:$A,0)),"")</f>
        <v>Metro BH</v>
      </c>
      <c r="D56" s="6" t="s">
        <v>1009</v>
      </c>
      <c r="E56" s="6" t="s">
        <v>308</v>
      </c>
      <c r="F56" s="12" t="str">
        <f aca="false">IFERROR(INDEX(Colaboradores!$E:$E,MATCH(E56,Colaboradores!$A:$A,0)),"")</f>
        <v>DANIEL APARECIDO DOS REIS FELICIANO</v>
      </c>
      <c r="G56" s="6" t="s">
        <v>524</v>
      </c>
      <c r="H56" s="12" t="str">
        <f aca="false">IFERROR(INDEX(Doc_Catalogo!$B:$B,MATCH(G56,Doc_Catalogo!$A:$A,0)),"")</f>
        <v>Certificado da NR10 — Colaborador</v>
      </c>
      <c r="I56" s="6" t="s">
        <v>1001</v>
      </c>
      <c r="J56" s="6"/>
    </row>
    <row r="57" customFormat="false" ht="15" hidden="false" customHeight="false" outlineLevel="0" collapsed="false">
      <c r="A57" s="6" t="s">
        <v>1061</v>
      </c>
      <c r="B57" s="6" t="s">
        <v>451</v>
      </c>
      <c r="C57" s="12" t="str">
        <f aca="false">IFERROR(INDEX(Obras!$B:$B,MATCH(B57,Obras!$A:$A,0)),"")</f>
        <v>Metro BH</v>
      </c>
      <c r="D57" s="6" t="s">
        <v>1009</v>
      </c>
      <c r="E57" s="6" t="s">
        <v>308</v>
      </c>
      <c r="F57" s="12" t="str">
        <f aca="false">IFERROR(INDEX(Colaboradores!$E:$E,MATCH(E57,Colaboradores!$A:$A,0)),"")</f>
        <v>DANIEL APARECIDO DOS REIS FELICIANO</v>
      </c>
      <c r="G57" s="6" t="s">
        <v>533</v>
      </c>
      <c r="H57" s="12" t="str">
        <f aca="false">IFERROR(INDEX(Doc_Catalogo!$B:$B,MATCH(G57,Doc_Catalogo!$A:$A,0)),"")</f>
        <v>Certificado da NR11 — Colaborador</v>
      </c>
      <c r="I57" s="6" t="s">
        <v>1017</v>
      </c>
      <c r="J57" s="6"/>
    </row>
    <row r="58" customFormat="false" ht="15" hidden="false" customHeight="false" outlineLevel="0" collapsed="false">
      <c r="A58" s="6" t="s">
        <v>1062</v>
      </c>
      <c r="B58" s="6" t="s">
        <v>451</v>
      </c>
      <c r="C58" s="12" t="str">
        <f aca="false">IFERROR(INDEX(Obras!$B:$B,MATCH(B58,Obras!$A:$A,0)),"")</f>
        <v>Metro BH</v>
      </c>
      <c r="D58" s="6" t="s">
        <v>1009</v>
      </c>
      <c r="E58" s="6" t="s">
        <v>308</v>
      </c>
      <c r="F58" s="12" t="str">
        <f aca="false">IFERROR(INDEX(Colaboradores!$E:$E,MATCH(E58,Colaboradores!$A:$A,0)),"")</f>
        <v>DANIEL APARECIDO DOS REIS FELICIANO</v>
      </c>
      <c r="G58" s="6" t="s">
        <v>537</v>
      </c>
      <c r="H58" s="12" t="str">
        <f aca="false">IFERROR(INDEX(Doc_Catalogo!$B:$B,MATCH(G58,Doc_Catalogo!$A:$A,0)),"")</f>
        <v>Certificado da NR12 — Colaborador</v>
      </c>
      <c r="I58" s="6" t="s">
        <v>1001</v>
      </c>
      <c r="J58" s="6"/>
    </row>
    <row r="59" customFormat="false" ht="15" hidden="false" customHeight="false" outlineLevel="0" collapsed="false">
      <c r="A59" s="6" t="s">
        <v>1063</v>
      </c>
      <c r="B59" s="6" t="s">
        <v>451</v>
      </c>
      <c r="C59" s="12" t="str">
        <f aca="false">IFERROR(INDEX(Obras!$B:$B,MATCH(B59,Obras!$A:$A,0)),"")</f>
        <v>Metro BH</v>
      </c>
      <c r="D59" s="6" t="s">
        <v>1009</v>
      </c>
      <c r="E59" s="6" t="s">
        <v>308</v>
      </c>
      <c r="F59" s="12" t="str">
        <f aca="false">IFERROR(INDEX(Colaboradores!$E:$E,MATCH(E59,Colaboradores!$A:$A,0)),"")</f>
        <v>DANIEL APARECIDO DOS REIS FELICIANO</v>
      </c>
      <c r="G59" s="6" t="s">
        <v>549</v>
      </c>
      <c r="H59" s="12" t="str">
        <f aca="false">IFERROR(INDEX(Doc_Catalogo!$B:$B,MATCH(G59,Doc_Catalogo!$A:$A,0)),"")</f>
        <v>Certificado da NR18 — Colaborador</v>
      </c>
      <c r="I59" s="6" t="s">
        <v>1001</v>
      </c>
      <c r="J59" s="6"/>
    </row>
    <row r="60" customFormat="false" ht="15" hidden="false" customHeight="false" outlineLevel="0" collapsed="false">
      <c r="A60" s="6" t="s">
        <v>1064</v>
      </c>
      <c r="B60" s="6" t="s">
        <v>451</v>
      </c>
      <c r="C60" s="12" t="str">
        <f aca="false">IFERROR(INDEX(Obras!$B:$B,MATCH(B60,Obras!$A:$A,0)),"")</f>
        <v>Metro BH</v>
      </c>
      <c r="D60" s="6" t="s">
        <v>1009</v>
      </c>
      <c r="E60" s="6" t="s">
        <v>308</v>
      </c>
      <c r="F60" s="12" t="str">
        <f aca="false">IFERROR(INDEX(Colaboradores!$E:$E,MATCH(E60,Colaboradores!$A:$A,0)),"")</f>
        <v>DANIEL APARECIDO DOS REIS FELICIANO</v>
      </c>
      <c r="G60" s="6" t="s">
        <v>553</v>
      </c>
      <c r="H60" s="12" t="str">
        <f aca="false">IFERROR(INDEX(Doc_Catalogo!$B:$B,MATCH(G60,Doc_Catalogo!$A:$A,0)),"")</f>
        <v>Certificado da NR33 — Colaborador</v>
      </c>
      <c r="I60" s="6" t="s">
        <v>1017</v>
      </c>
      <c r="J60" s="6"/>
    </row>
    <row r="61" customFormat="false" ht="15" hidden="false" customHeight="false" outlineLevel="0" collapsed="false">
      <c r="A61" s="6" t="s">
        <v>1065</v>
      </c>
      <c r="B61" s="6" t="s">
        <v>451</v>
      </c>
      <c r="C61" s="12" t="str">
        <f aca="false">IFERROR(INDEX(Obras!$B:$B,MATCH(B61,Obras!$A:$A,0)),"")</f>
        <v>Metro BH</v>
      </c>
      <c r="D61" s="6" t="s">
        <v>1009</v>
      </c>
      <c r="E61" s="6" t="s">
        <v>308</v>
      </c>
      <c r="F61" s="12" t="str">
        <f aca="false">IFERROR(INDEX(Colaboradores!$E:$E,MATCH(E61,Colaboradores!$A:$A,0)),"")</f>
        <v>DANIEL APARECIDO DOS REIS FELICIANO</v>
      </c>
      <c r="G61" s="6" t="s">
        <v>565</v>
      </c>
      <c r="H61" s="12" t="str">
        <f aca="false">IFERROR(INDEX(Doc_Catalogo!$B:$B,MATCH(G61,Doc_Catalogo!$A:$A,0)),"")</f>
        <v>Certificado da NR35 — Colaborador</v>
      </c>
      <c r="I61" s="6" t="s">
        <v>1001</v>
      </c>
      <c r="J61" s="6"/>
    </row>
    <row r="62" customFormat="false" ht="15" hidden="false" customHeight="false" outlineLevel="0" collapsed="false">
      <c r="A62" s="6" t="s">
        <v>1066</v>
      </c>
      <c r="B62" s="6" t="s">
        <v>451</v>
      </c>
      <c r="C62" s="12" t="str">
        <f aca="false">IFERROR(INDEX(Obras!$B:$B,MATCH(B62,Obras!$A:$A,0)),"")</f>
        <v>Metro BH</v>
      </c>
      <c r="D62" s="6" t="s">
        <v>1009</v>
      </c>
      <c r="E62" s="6" t="s">
        <v>324</v>
      </c>
      <c r="F62" s="12" t="str">
        <f aca="false">IFERROR(INDEX(Colaboradores!$E:$E,MATCH(E62,Colaboradores!$A:$A,0)),"")</f>
        <v>PAULO CESAR ALVES DA SILVA</v>
      </c>
      <c r="G62" s="6" t="s">
        <v>501</v>
      </c>
      <c r="H62" s="12" t="str">
        <f aca="false">IFERROR(INDEX(Doc_Catalogo!$B:$B,MATCH(G62,Doc_Catalogo!$A:$A,0)),"")</f>
        <v>ASO</v>
      </c>
      <c r="I62" s="6" t="s">
        <v>1001</v>
      </c>
      <c r="J62" s="6"/>
    </row>
    <row r="63" customFormat="false" ht="15" hidden="false" customHeight="false" outlineLevel="0" collapsed="false">
      <c r="A63" s="6" t="s">
        <v>1067</v>
      </c>
      <c r="B63" s="6" t="s">
        <v>451</v>
      </c>
      <c r="C63" s="12" t="str">
        <f aca="false">IFERROR(INDEX(Obras!$B:$B,MATCH(B63,Obras!$A:$A,0)),"")</f>
        <v>Metro BH</v>
      </c>
      <c r="D63" s="6" t="s">
        <v>1009</v>
      </c>
      <c r="E63" s="6" t="s">
        <v>324</v>
      </c>
      <c r="F63" s="12" t="str">
        <f aca="false">IFERROR(INDEX(Colaboradores!$E:$E,MATCH(E63,Colaboradores!$A:$A,0)),"")</f>
        <v>PAULO CESAR ALVES DA SILVA</v>
      </c>
      <c r="G63" s="6" t="s">
        <v>586</v>
      </c>
      <c r="H63" s="12" t="str">
        <f aca="false">IFERROR(INDEX(Doc_Catalogo!$B:$B,MATCH(G63,Doc_Catalogo!$A:$A,0)),"")</f>
        <v>Ordem de Servico</v>
      </c>
      <c r="I63" s="6" t="s">
        <v>1001</v>
      </c>
      <c r="J63" s="6"/>
    </row>
    <row r="64" customFormat="false" ht="15" hidden="false" customHeight="false" outlineLevel="0" collapsed="false">
      <c r="A64" s="6" t="s">
        <v>1068</v>
      </c>
      <c r="B64" s="6" t="s">
        <v>451</v>
      </c>
      <c r="C64" s="12" t="str">
        <f aca="false">IFERROR(INDEX(Obras!$B:$B,MATCH(B64,Obras!$A:$A,0)),"")</f>
        <v>Metro BH</v>
      </c>
      <c r="D64" s="6" t="s">
        <v>1009</v>
      </c>
      <c r="E64" s="6" t="s">
        <v>324</v>
      </c>
      <c r="F64" s="12" t="str">
        <f aca="false">IFERROR(INDEX(Colaboradores!$E:$E,MATCH(E64,Colaboradores!$A:$A,0)),"")</f>
        <v>PAULO CESAR ALVES DA SILVA</v>
      </c>
      <c r="G64" s="6" t="s">
        <v>588</v>
      </c>
      <c r="H64" s="12" t="str">
        <f aca="false">IFERROR(INDEX(Doc_Catalogo!$B:$B,MATCH(G64,Doc_Catalogo!$A:$A,0)),"")</f>
        <v>Ficha de EPI Atualizada</v>
      </c>
      <c r="I64" s="6" t="s">
        <v>1001</v>
      </c>
      <c r="J64" s="6"/>
    </row>
    <row r="65" customFormat="false" ht="15" hidden="false" customHeight="false" outlineLevel="0" collapsed="false">
      <c r="A65" s="6" t="s">
        <v>1069</v>
      </c>
      <c r="B65" s="6" t="s">
        <v>451</v>
      </c>
      <c r="C65" s="12" t="str">
        <f aca="false">IFERROR(INDEX(Obras!$B:$B,MATCH(B65,Obras!$A:$A,0)),"")</f>
        <v>Metro BH</v>
      </c>
      <c r="D65" s="6" t="s">
        <v>1009</v>
      </c>
      <c r="E65" s="6" t="s">
        <v>324</v>
      </c>
      <c r="F65" s="12" t="str">
        <f aca="false">IFERROR(INDEX(Colaboradores!$E:$E,MATCH(E65,Colaboradores!$A:$A,0)),"")</f>
        <v>PAULO CESAR ALVES DA SILVA</v>
      </c>
      <c r="G65" s="6" t="s">
        <v>513</v>
      </c>
      <c r="H65" s="12" t="str">
        <f aca="false">IFERROR(INDEX(Doc_Catalogo!$B:$B,MATCH(G65,Doc_Catalogo!$A:$A,0)),"")</f>
        <v>Certificado da NR01 — Colaborador</v>
      </c>
      <c r="I65" s="6" t="s">
        <v>1017</v>
      </c>
      <c r="J65" s="6"/>
    </row>
    <row r="66" customFormat="false" ht="15" hidden="false" customHeight="false" outlineLevel="0" collapsed="false">
      <c r="A66" s="6" t="s">
        <v>1070</v>
      </c>
      <c r="B66" s="6" t="s">
        <v>451</v>
      </c>
      <c r="C66" s="12" t="str">
        <f aca="false">IFERROR(INDEX(Obras!$B:$B,MATCH(B66,Obras!$A:$A,0)),"")</f>
        <v>Metro BH</v>
      </c>
      <c r="D66" s="6" t="s">
        <v>1009</v>
      </c>
      <c r="E66" s="6" t="s">
        <v>324</v>
      </c>
      <c r="F66" s="12" t="str">
        <f aca="false">IFERROR(INDEX(Colaboradores!$E:$E,MATCH(E66,Colaboradores!$A:$A,0)),"")</f>
        <v>PAULO CESAR ALVES DA SILVA</v>
      </c>
      <c r="G66" s="6" t="s">
        <v>519</v>
      </c>
      <c r="H66" s="12" t="str">
        <f aca="false">IFERROR(INDEX(Doc_Catalogo!$B:$B,MATCH(G66,Doc_Catalogo!$A:$A,0)),"")</f>
        <v>Certificado da NR06 — Colaborador</v>
      </c>
      <c r="I66" s="6" t="s">
        <v>1001</v>
      </c>
      <c r="J66" s="6"/>
    </row>
    <row r="67" customFormat="false" ht="15" hidden="false" customHeight="false" outlineLevel="0" collapsed="false">
      <c r="A67" s="6" t="s">
        <v>1071</v>
      </c>
      <c r="B67" s="6" t="s">
        <v>451</v>
      </c>
      <c r="C67" s="12" t="str">
        <f aca="false">IFERROR(INDEX(Obras!$B:$B,MATCH(B67,Obras!$A:$A,0)),"")</f>
        <v>Metro BH</v>
      </c>
      <c r="D67" s="6" t="s">
        <v>1009</v>
      </c>
      <c r="E67" s="6" t="s">
        <v>324</v>
      </c>
      <c r="F67" s="12" t="str">
        <f aca="false">IFERROR(INDEX(Colaboradores!$E:$E,MATCH(E67,Colaboradores!$A:$A,0)),"")</f>
        <v>PAULO CESAR ALVES DA SILVA</v>
      </c>
      <c r="G67" s="6" t="s">
        <v>583</v>
      </c>
      <c r="H67" s="12" t="str">
        <f aca="false">IFERROR(INDEX(Doc_Catalogo!$B:$B,MATCH(G67,Doc_Catalogo!$A:$A,0)),"")</f>
        <v>CTPS Digital</v>
      </c>
      <c r="I67" s="6" t="s">
        <v>1001</v>
      </c>
      <c r="J67" s="6"/>
    </row>
    <row r="68" customFormat="false" ht="15" hidden="false" customHeight="false" outlineLevel="0" collapsed="false">
      <c r="A68" s="6" t="s">
        <v>1072</v>
      </c>
      <c r="B68" s="6" t="s">
        <v>451</v>
      </c>
      <c r="C68" s="12" t="str">
        <f aca="false">IFERROR(INDEX(Obras!$B:$B,MATCH(B68,Obras!$A:$A,0)),"")</f>
        <v>Metro BH</v>
      </c>
      <c r="D68" s="6" t="s">
        <v>1009</v>
      </c>
      <c r="E68" s="6" t="s">
        <v>324</v>
      </c>
      <c r="F68" s="12" t="str">
        <f aca="false">IFERROR(INDEX(Colaboradores!$E:$E,MATCH(E68,Colaboradores!$A:$A,0)),"")</f>
        <v>PAULO CESAR ALVES DA SILVA</v>
      </c>
      <c r="G68" s="6" t="s">
        <v>571</v>
      </c>
      <c r="H68" s="12" t="str">
        <f aca="false">IFERROR(INDEX(Doc_Catalogo!$B:$B,MATCH(G68,Doc_Catalogo!$A:$A,0)),"")</f>
        <v>Ficha de Registro</v>
      </c>
      <c r="I68" s="6" t="s">
        <v>1001</v>
      </c>
      <c r="J68" s="6"/>
    </row>
    <row r="69" customFormat="false" ht="15" hidden="false" customHeight="false" outlineLevel="0" collapsed="false">
      <c r="A69" s="6" t="s">
        <v>1073</v>
      </c>
      <c r="B69" s="6" t="s">
        <v>451</v>
      </c>
      <c r="C69" s="12" t="str">
        <f aca="false">IFERROR(INDEX(Obras!$B:$B,MATCH(B69,Obras!$A:$A,0)),"")</f>
        <v>Metro BH</v>
      </c>
      <c r="D69" s="6" t="s">
        <v>1009</v>
      </c>
      <c r="E69" s="6" t="s">
        <v>324</v>
      </c>
      <c r="F69" s="12" t="str">
        <f aca="false">IFERROR(INDEX(Colaboradores!$E:$E,MATCH(E69,Colaboradores!$A:$A,0)),"")</f>
        <v>PAULO CESAR ALVES DA SILVA</v>
      </c>
      <c r="G69" s="6" t="s">
        <v>524</v>
      </c>
      <c r="H69" s="12" t="str">
        <f aca="false">IFERROR(INDEX(Doc_Catalogo!$B:$B,MATCH(G69,Doc_Catalogo!$A:$A,0)),"")</f>
        <v>Certificado da NR10 — Colaborador</v>
      </c>
      <c r="I69" s="6" t="s">
        <v>1001</v>
      </c>
      <c r="J69" s="6"/>
    </row>
    <row r="70" customFormat="false" ht="15" hidden="false" customHeight="false" outlineLevel="0" collapsed="false">
      <c r="A70" s="6" t="s">
        <v>1074</v>
      </c>
      <c r="B70" s="6" t="s">
        <v>451</v>
      </c>
      <c r="C70" s="12" t="str">
        <f aca="false">IFERROR(INDEX(Obras!$B:$B,MATCH(B70,Obras!$A:$A,0)),"")</f>
        <v>Metro BH</v>
      </c>
      <c r="D70" s="6" t="s">
        <v>1009</v>
      </c>
      <c r="E70" s="6" t="s">
        <v>324</v>
      </c>
      <c r="F70" s="12" t="str">
        <f aca="false">IFERROR(INDEX(Colaboradores!$E:$E,MATCH(E70,Colaboradores!$A:$A,0)),"")</f>
        <v>PAULO CESAR ALVES DA SILVA</v>
      </c>
      <c r="G70" s="6" t="s">
        <v>533</v>
      </c>
      <c r="H70" s="12" t="str">
        <f aca="false">IFERROR(INDEX(Doc_Catalogo!$B:$B,MATCH(G70,Doc_Catalogo!$A:$A,0)),"")</f>
        <v>Certificado da NR11 — Colaborador</v>
      </c>
      <c r="I70" s="6" t="s">
        <v>1001</v>
      </c>
      <c r="J70" s="6"/>
    </row>
    <row r="71" customFormat="false" ht="15" hidden="false" customHeight="false" outlineLevel="0" collapsed="false">
      <c r="A71" s="6" t="s">
        <v>1075</v>
      </c>
      <c r="B71" s="6" t="s">
        <v>451</v>
      </c>
      <c r="C71" s="12" t="str">
        <f aca="false">IFERROR(INDEX(Obras!$B:$B,MATCH(B71,Obras!$A:$A,0)),"")</f>
        <v>Metro BH</v>
      </c>
      <c r="D71" s="6" t="s">
        <v>1009</v>
      </c>
      <c r="E71" s="6" t="s">
        <v>324</v>
      </c>
      <c r="F71" s="12" t="str">
        <f aca="false">IFERROR(INDEX(Colaboradores!$E:$E,MATCH(E71,Colaboradores!$A:$A,0)),"")</f>
        <v>PAULO CESAR ALVES DA SILVA</v>
      </c>
      <c r="G71" s="6" t="s">
        <v>537</v>
      </c>
      <c r="H71" s="12" t="str">
        <f aca="false">IFERROR(INDEX(Doc_Catalogo!$B:$B,MATCH(G71,Doc_Catalogo!$A:$A,0)),"")</f>
        <v>Certificado da NR12 — Colaborador</v>
      </c>
      <c r="I71" s="6" t="s">
        <v>1001</v>
      </c>
      <c r="J71" s="6"/>
    </row>
    <row r="72" customFormat="false" ht="15" hidden="false" customHeight="false" outlineLevel="0" collapsed="false">
      <c r="A72" s="6" t="s">
        <v>1076</v>
      </c>
      <c r="B72" s="6" t="s">
        <v>451</v>
      </c>
      <c r="C72" s="12" t="str">
        <f aca="false">IFERROR(INDEX(Obras!$B:$B,MATCH(B72,Obras!$A:$A,0)),"")</f>
        <v>Metro BH</v>
      </c>
      <c r="D72" s="6" t="s">
        <v>1009</v>
      </c>
      <c r="E72" s="6" t="s">
        <v>324</v>
      </c>
      <c r="F72" s="12" t="str">
        <f aca="false">IFERROR(INDEX(Colaboradores!$E:$E,MATCH(E72,Colaboradores!$A:$A,0)),"")</f>
        <v>PAULO CESAR ALVES DA SILVA</v>
      </c>
      <c r="G72" s="6" t="s">
        <v>549</v>
      </c>
      <c r="H72" s="12" t="str">
        <f aca="false">IFERROR(INDEX(Doc_Catalogo!$B:$B,MATCH(G72,Doc_Catalogo!$A:$A,0)),"")</f>
        <v>Certificado da NR18 — Colaborador</v>
      </c>
      <c r="I72" s="6" t="s">
        <v>1001</v>
      </c>
      <c r="J72" s="6"/>
    </row>
    <row r="73" customFormat="false" ht="15" hidden="false" customHeight="false" outlineLevel="0" collapsed="false">
      <c r="A73" s="6" t="s">
        <v>1077</v>
      </c>
      <c r="B73" s="6" t="s">
        <v>451</v>
      </c>
      <c r="C73" s="12" t="str">
        <f aca="false">IFERROR(INDEX(Obras!$B:$B,MATCH(B73,Obras!$A:$A,0)),"")</f>
        <v>Metro BH</v>
      </c>
      <c r="D73" s="6" t="s">
        <v>1009</v>
      </c>
      <c r="E73" s="6" t="s">
        <v>324</v>
      </c>
      <c r="F73" s="12" t="str">
        <f aca="false">IFERROR(INDEX(Colaboradores!$E:$E,MATCH(E73,Colaboradores!$A:$A,0)),"")</f>
        <v>PAULO CESAR ALVES DA SILVA</v>
      </c>
      <c r="G73" s="6" t="s">
        <v>553</v>
      </c>
      <c r="H73" s="12" t="str">
        <f aca="false">IFERROR(INDEX(Doc_Catalogo!$B:$B,MATCH(G73,Doc_Catalogo!$A:$A,0)),"")</f>
        <v>Certificado da NR33 — Colaborador</v>
      </c>
      <c r="I73" s="6" t="s">
        <v>1001</v>
      </c>
      <c r="J73" s="6"/>
    </row>
    <row r="74" customFormat="false" ht="15" hidden="false" customHeight="false" outlineLevel="0" collapsed="false">
      <c r="A74" s="6" t="s">
        <v>1078</v>
      </c>
      <c r="B74" s="6" t="s">
        <v>451</v>
      </c>
      <c r="C74" s="12" t="str">
        <f aca="false">IFERROR(INDEX(Obras!$B:$B,MATCH(B74,Obras!$A:$A,0)),"")</f>
        <v>Metro BH</v>
      </c>
      <c r="D74" s="6" t="s">
        <v>1009</v>
      </c>
      <c r="E74" s="6" t="s">
        <v>324</v>
      </c>
      <c r="F74" s="12" t="str">
        <f aca="false">IFERROR(INDEX(Colaboradores!$E:$E,MATCH(E74,Colaboradores!$A:$A,0)),"")</f>
        <v>PAULO CESAR ALVES DA SILVA</v>
      </c>
      <c r="G74" s="6" t="s">
        <v>565</v>
      </c>
      <c r="H74" s="12" t="str">
        <f aca="false">IFERROR(INDEX(Doc_Catalogo!$B:$B,MATCH(G74,Doc_Catalogo!$A:$A,0)),"")</f>
        <v>Certificado da NR35 — Colaborador</v>
      </c>
      <c r="I74" s="6" t="s">
        <v>1001</v>
      </c>
      <c r="J74" s="6"/>
    </row>
    <row r="75" customFormat="false" ht="15" hidden="false" customHeight="false" outlineLevel="0" collapsed="false">
      <c r="A75" s="6" t="s">
        <v>1079</v>
      </c>
      <c r="B75" s="6" t="s">
        <v>451</v>
      </c>
      <c r="C75" s="12" t="str">
        <f aca="false">IFERROR(INDEX(Obras!$B:$B,MATCH(B75,Obras!$A:$A,0)),"")</f>
        <v>Metro BH</v>
      </c>
      <c r="D75" s="6" t="s">
        <v>1009</v>
      </c>
      <c r="E75" s="6" t="s">
        <v>327</v>
      </c>
      <c r="F75" s="12" t="str">
        <f aca="false">IFERROR(INDEX(Colaboradores!$E:$E,MATCH(E75,Colaboradores!$A:$A,0)),"")</f>
        <v>YOANDERSON COSTA DOS SANTOS</v>
      </c>
      <c r="G75" s="6" t="s">
        <v>501</v>
      </c>
      <c r="H75" s="12" t="str">
        <f aca="false">IFERROR(INDEX(Doc_Catalogo!$B:$B,MATCH(G75,Doc_Catalogo!$A:$A,0)),"")</f>
        <v>ASO</v>
      </c>
      <c r="I75" s="6" t="s">
        <v>1001</v>
      </c>
      <c r="J75" s="6"/>
    </row>
    <row r="76" customFormat="false" ht="15" hidden="false" customHeight="false" outlineLevel="0" collapsed="false">
      <c r="A76" s="6" t="s">
        <v>1080</v>
      </c>
      <c r="B76" s="6" t="s">
        <v>451</v>
      </c>
      <c r="C76" s="12" t="str">
        <f aca="false">IFERROR(INDEX(Obras!$B:$B,MATCH(B76,Obras!$A:$A,0)),"")</f>
        <v>Metro BH</v>
      </c>
      <c r="D76" s="6" t="s">
        <v>1009</v>
      </c>
      <c r="E76" s="6" t="s">
        <v>327</v>
      </c>
      <c r="F76" s="12" t="str">
        <f aca="false">IFERROR(INDEX(Colaboradores!$E:$E,MATCH(E76,Colaboradores!$A:$A,0)),"")</f>
        <v>YOANDERSON COSTA DOS SANTOS</v>
      </c>
      <c r="G76" s="6" t="s">
        <v>586</v>
      </c>
      <c r="H76" s="12" t="str">
        <f aca="false">IFERROR(INDEX(Doc_Catalogo!$B:$B,MATCH(G76,Doc_Catalogo!$A:$A,0)),"")</f>
        <v>Ordem de Servico</v>
      </c>
      <c r="I76" s="6" t="s">
        <v>1001</v>
      </c>
      <c r="J76" s="6"/>
    </row>
    <row r="77" customFormat="false" ht="15" hidden="false" customHeight="false" outlineLevel="0" collapsed="false">
      <c r="A77" s="6" t="s">
        <v>1081</v>
      </c>
      <c r="B77" s="6" t="s">
        <v>451</v>
      </c>
      <c r="C77" s="12" t="str">
        <f aca="false">IFERROR(INDEX(Obras!$B:$B,MATCH(B77,Obras!$A:$A,0)),"")</f>
        <v>Metro BH</v>
      </c>
      <c r="D77" s="6" t="s">
        <v>1009</v>
      </c>
      <c r="E77" s="6" t="s">
        <v>327</v>
      </c>
      <c r="F77" s="12" t="str">
        <f aca="false">IFERROR(INDEX(Colaboradores!$E:$E,MATCH(E77,Colaboradores!$A:$A,0)),"")</f>
        <v>YOANDERSON COSTA DOS SANTOS</v>
      </c>
      <c r="G77" s="6" t="s">
        <v>588</v>
      </c>
      <c r="H77" s="12" t="str">
        <f aca="false">IFERROR(INDEX(Doc_Catalogo!$B:$B,MATCH(G77,Doc_Catalogo!$A:$A,0)),"")</f>
        <v>Ficha de EPI Atualizada</v>
      </c>
      <c r="I77" s="6" t="s">
        <v>1001</v>
      </c>
      <c r="J77" s="6"/>
    </row>
    <row r="78" customFormat="false" ht="15" hidden="false" customHeight="false" outlineLevel="0" collapsed="false">
      <c r="A78" s="6" t="s">
        <v>1082</v>
      </c>
      <c r="B78" s="6" t="s">
        <v>451</v>
      </c>
      <c r="C78" s="12" t="str">
        <f aca="false">IFERROR(INDEX(Obras!$B:$B,MATCH(B78,Obras!$A:$A,0)),"")</f>
        <v>Metro BH</v>
      </c>
      <c r="D78" s="6" t="s">
        <v>1009</v>
      </c>
      <c r="E78" s="6" t="s">
        <v>327</v>
      </c>
      <c r="F78" s="12" t="str">
        <f aca="false">IFERROR(INDEX(Colaboradores!$E:$E,MATCH(E78,Colaboradores!$A:$A,0)),"")</f>
        <v>YOANDERSON COSTA DOS SANTOS</v>
      </c>
      <c r="G78" s="6" t="s">
        <v>513</v>
      </c>
      <c r="H78" s="12" t="str">
        <f aca="false">IFERROR(INDEX(Doc_Catalogo!$B:$B,MATCH(G78,Doc_Catalogo!$A:$A,0)),"")</f>
        <v>Certificado da NR01 — Colaborador</v>
      </c>
      <c r="I78" s="6" t="s">
        <v>1017</v>
      </c>
      <c r="J78" s="6"/>
    </row>
    <row r="79" customFormat="false" ht="15" hidden="false" customHeight="false" outlineLevel="0" collapsed="false">
      <c r="A79" s="6" t="s">
        <v>1083</v>
      </c>
      <c r="B79" s="6" t="s">
        <v>451</v>
      </c>
      <c r="C79" s="12" t="str">
        <f aca="false">IFERROR(INDEX(Obras!$B:$B,MATCH(B79,Obras!$A:$A,0)),"")</f>
        <v>Metro BH</v>
      </c>
      <c r="D79" s="6" t="s">
        <v>1009</v>
      </c>
      <c r="E79" s="6" t="s">
        <v>327</v>
      </c>
      <c r="F79" s="12" t="str">
        <f aca="false">IFERROR(INDEX(Colaboradores!$E:$E,MATCH(E79,Colaboradores!$A:$A,0)),"")</f>
        <v>YOANDERSON COSTA DOS SANTOS</v>
      </c>
      <c r="G79" s="6" t="s">
        <v>519</v>
      </c>
      <c r="H79" s="12" t="str">
        <f aca="false">IFERROR(INDEX(Doc_Catalogo!$B:$B,MATCH(G79,Doc_Catalogo!$A:$A,0)),"")</f>
        <v>Certificado da NR06 — Colaborador</v>
      </c>
      <c r="I79" s="6" t="s">
        <v>1001</v>
      </c>
      <c r="J79" s="6"/>
    </row>
    <row r="80" customFormat="false" ht="15" hidden="false" customHeight="false" outlineLevel="0" collapsed="false">
      <c r="A80" s="6" t="s">
        <v>1084</v>
      </c>
      <c r="B80" s="6" t="s">
        <v>451</v>
      </c>
      <c r="C80" s="12" t="str">
        <f aca="false">IFERROR(INDEX(Obras!$B:$B,MATCH(B80,Obras!$A:$A,0)),"")</f>
        <v>Metro BH</v>
      </c>
      <c r="D80" s="6" t="s">
        <v>1009</v>
      </c>
      <c r="E80" s="6" t="s">
        <v>327</v>
      </c>
      <c r="F80" s="12" t="str">
        <f aca="false">IFERROR(INDEX(Colaboradores!$E:$E,MATCH(E80,Colaboradores!$A:$A,0)),"")</f>
        <v>YOANDERSON COSTA DOS SANTOS</v>
      </c>
      <c r="G80" s="6" t="s">
        <v>583</v>
      </c>
      <c r="H80" s="12" t="str">
        <f aca="false">IFERROR(INDEX(Doc_Catalogo!$B:$B,MATCH(G80,Doc_Catalogo!$A:$A,0)),"")</f>
        <v>CTPS Digital</v>
      </c>
      <c r="I80" s="6" t="s">
        <v>1001</v>
      </c>
      <c r="J80" s="6"/>
    </row>
    <row r="81" customFormat="false" ht="15" hidden="false" customHeight="false" outlineLevel="0" collapsed="false">
      <c r="A81" s="6" t="s">
        <v>1085</v>
      </c>
      <c r="B81" s="6" t="s">
        <v>451</v>
      </c>
      <c r="C81" s="12" t="str">
        <f aca="false">IFERROR(INDEX(Obras!$B:$B,MATCH(B81,Obras!$A:$A,0)),"")</f>
        <v>Metro BH</v>
      </c>
      <c r="D81" s="6" t="s">
        <v>1009</v>
      </c>
      <c r="E81" s="6" t="s">
        <v>327</v>
      </c>
      <c r="F81" s="12" t="str">
        <f aca="false">IFERROR(INDEX(Colaboradores!$E:$E,MATCH(E81,Colaboradores!$A:$A,0)),"")</f>
        <v>YOANDERSON COSTA DOS SANTOS</v>
      </c>
      <c r="G81" s="6" t="s">
        <v>571</v>
      </c>
      <c r="H81" s="12" t="str">
        <f aca="false">IFERROR(INDEX(Doc_Catalogo!$B:$B,MATCH(G81,Doc_Catalogo!$A:$A,0)),"")</f>
        <v>Ficha de Registro</v>
      </c>
      <c r="I81" s="6" t="s">
        <v>1001</v>
      </c>
      <c r="J81" s="6"/>
    </row>
    <row r="82" customFormat="false" ht="15" hidden="false" customHeight="false" outlineLevel="0" collapsed="false">
      <c r="A82" s="6" t="s">
        <v>1086</v>
      </c>
      <c r="B82" s="6" t="s">
        <v>451</v>
      </c>
      <c r="C82" s="12" t="str">
        <f aca="false">IFERROR(INDEX(Obras!$B:$B,MATCH(B82,Obras!$A:$A,0)),"")</f>
        <v>Metro BH</v>
      </c>
      <c r="D82" s="6" t="s">
        <v>1009</v>
      </c>
      <c r="E82" s="6" t="s">
        <v>327</v>
      </c>
      <c r="F82" s="12" t="str">
        <f aca="false">IFERROR(INDEX(Colaboradores!$E:$E,MATCH(E82,Colaboradores!$A:$A,0)),"")</f>
        <v>YOANDERSON COSTA DOS SANTOS</v>
      </c>
      <c r="G82" s="6" t="s">
        <v>524</v>
      </c>
      <c r="H82" s="12" t="str">
        <f aca="false">IFERROR(INDEX(Doc_Catalogo!$B:$B,MATCH(G82,Doc_Catalogo!$A:$A,0)),"")</f>
        <v>Certificado da NR10 — Colaborador</v>
      </c>
      <c r="I82" s="6" t="s">
        <v>1001</v>
      </c>
      <c r="J82" s="6"/>
    </row>
    <row r="83" customFormat="false" ht="15" hidden="false" customHeight="false" outlineLevel="0" collapsed="false">
      <c r="A83" s="6" t="s">
        <v>1087</v>
      </c>
      <c r="B83" s="6" t="s">
        <v>451</v>
      </c>
      <c r="C83" s="12" t="str">
        <f aca="false">IFERROR(INDEX(Obras!$B:$B,MATCH(B83,Obras!$A:$A,0)),"")</f>
        <v>Metro BH</v>
      </c>
      <c r="D83" s="6" t="s">
        <v>1009</v>
      </c>
      <c r="E83" s="6" t="s">
        <v>327</v>
      </c>
      <c r="F83" s="12" t="str">
        <f aca="false">IFERROR(INDEX(Colaboradores!$E:$E,MATCH(E83,Colaboradores!$A:$A,0)),"")</f>
        <v>YOANDERSON COSTA DOS SANTOS</v>
      </c>
      <c r="G83" s="6" t="s">
        <v>533</v>
      </c>
      <c r="H83" s="12" t="str">
        <f aca="false">IFERROR(INDEX(Doc_Catalogo!$B:$B,MATCH(G83,Doc_Catalogo!$A:$A,0)),"")</f>
        <v>Certificado da NR11 — Colaborador</v>
      </c>
      <c r="I83" s="6" t="s">
        <v>1001</v>
      </c>
      <c r="J83" s="6"/>
    </row>
    <row r="84" customFormat="false" ht="15" hidden="false" customHeight="false" outlineLevel="0" collapsed="false">
      <c r="A84" s="6" t="s">
        <v>1088</v>
      </c>
      <c r="B84" s="6" t="s">
        <v>451</v>
      </c>
      <c r="C84" s="12" t="str">
        <f aca="false">IFERROR(INDEX(Obras!$B:$B,MATCH(B84,Obras!$A:$A,0)),"")</f>
        <v>Metro BH</v>
      </c>
      <c r="D84" s="6" t="s">
        <v>1009</v>
      </c>
      <c r="E84" s="6" t="s">
        <v>327</v>
      </c>
      <c r="F84" s="12" t="str">
        <f aca="false">IFERROR(INDEX(Colaboradores!$E:$E,MATCH(E84,Colaboradores!$A:$A,0)),"")</f>
        <v>YOANDERSON COSTA DOS SANTOS</v>
      </c>
      <c r="G84" s="6" t="s">
        <v>537</v>
      </c>
      <c r="H84" s="12" t="str">
        <f aca="false">IFERROR(INDEX(Doc_Catalogo!$B:$B,MATCH(G84,Doc_Catalogo!$A:$A,0)),"")</f>
        <v>Certificado da NR12 — Colaborador</v>
      </c>
      <c r="I84" s="6" t="s">
        <v>1001</v>
      </c>
      <c r="J84" s="6"/>
    </row>
    <row r="85" customFormat="false" ht="15" hidden="false" customHeight="false" outlineLevel="0" collapsed="false">
      <c r="A85" s="6" t="s">
        <v>1089</v>
      </c>
      <c r="B85" s="6" t="s">
        <v>451</v>
      </c>
      <c r="C85" s="12" t="str">
        <f aca="false">IFERROR(INDEX(Obras!$B:$B,MATCH(B85,Obras!$A:$A,0)),"")</f>
        <v>Metro BH</v>
      </c>
      <c r="D85" s="6" t="s">
        <v>1009</v>
      </c>
      <c r="E85" s="6" t="s">
        <v>327</v>
      </c>
      <c r="F85" s="12" t="str">
        <f aca="false">IFERROR(INDEX(Colaboradores!$E:$E,MATCH(E85,Colaboradores!$A:$A,0)),"")</f>
        <v>YOANDERSON COSTA DOS SANTOS</v>
      </c>
      <c r="G85" s="6" t="s">
        <v>549</v>
      </c>
      <c r="H85" s="12" t="str">
        <f aca="false">IFERROR(INDEX(Doc_Catalogo!$B:$B,MATCH(G85,Doc_Catalogo!$A:$A,0)),"")</f>
        <v>Certificado da NR18 — Colaborador</v>
      </c>
      <c r="I85" s="6" t="s">
        <v>1001</v>
      </c>
      <c r="J85" s="6"/>
    </row>
    <row r="86" customFormat="false" ht="15" hidden="false" customHeight="false" outlineLevel="0" collapsed="false">
      <c r="A86" s="6" t="s">
        <v>1090</v>
      </c>
      <c r="B86" s="6" t="s">
        <v>451</v>
      </c>
      <c r="C86" s="12" t="str">
        <f aca="false">IFERROR(INDEX(Obras!$B:$B,MATCH(B86,Obras!$A:$A,0)),"")</f>
        <v>Metro BH</v>
      </c>
      <c r="D86" s="6" t="s">
        <v>1009</v>
      </c>
      <c r="E86" s="6" t="s">
        <v>327</v>
      </c>
      <c r="F86" s="12" t="str">
        <f aca="false">IFERROR(INDEX(Colaboradores!$E:$E,MATCH(E86,Colaboradores!$A:$A,0)),"")</f>
        <v>YOANDERSON COSTA DOS SANTOS</v>
      </c>
      <c r="G86" s="6" t="s">
        <v>553</v>
      </c>
      <c r="H86" s="12" t="str">
        <f aca="false">IFERROR(INDEX(Doc_Catalogo!$B:$B,MATCH(G86,Doc_Catalogo!$A:$A,0)),"")</f>
        <v>Certificado da NR33 — Colaborador</v>
      </c>
      <c r="I86" s="6" t="s">
        <v>1001</v>
      </c>
      <c r="J86" s="6"/>
    </row>
    <row r="87" customFormat="false" ht="15" hidden="false" customHeight="false" outlineLevel="0" collapsed="false">
      <c r="A87" s="6" t="s">
        <v>1091</v>
      </c>
      <c r="B87" s="6" t="s">
        <v>451</v>
      </c>
      <c r="C87" s="12" t="str">
        <f aca="false">IFERROR(INDEX(Obras!$B:$B,MATCH(B87,Obras!$A:$A,0)),"")</f>
        <v>Metro BH</v>
      </c>
      <c r="D87" s="6" t="s">
        <v>1009</v>
      </c>
      <c r="E87" s="6" t="s">
        <v>327</v>
      </c>
      <c r="F87" s="12" t="str">
        <f aca="false">IFERROR(INDEX(Colaboradores!$E:$E,MATCH(E87,Colaboradores!$A:$A,0)),"")</f>
        <v>YOANDERSON COSTA DOS SANTOS</v>
      </c>
      <c r="G87" s="6" t="s">
        <v>565</v>
      </c>
      <c r="H87" s="12" t="str">
        <f aca="false">IFERROR(INDEX(Doc_Catalogo!$B:$B,MATCH(G87,Doc_Catalogo!$A:$A,0)),"")</f>
        <v>Certificado da NR35 — Colaborador</v>
      </c>
      <c r="I87" s="6" t="s">
        <v>1001</v>
      </c>
      <c r="J87" s="6"/>
    </row>
    <row r="88" customFormat="false" ht="15" hidden="false" customHeight="false" outlineLevel="0" collapsed="false">
      <c r="A88" s="7" t="s">
        <v>1092</v>
      </c>
      <c r="B88" s="7" t="s">
        <v>454</v>
      </c>
      <c r="C88" s="16" t="str">
        <f aca="false">IFERROR(INDEX(Obras!$B:$B,MATCH(B88,Obras!$A:$A,0)),"")</f>
        <v>Hospital SC</v>
      </c>
      <c r="D88" s="7" t="s">
        <v>1000</v>
      </c>
      <c r="E88" s="7" t="s">
        <v>43</v>
      </c>
      <c r="F88" s="16" t="str">
        <f aca="false">IFERROR(INDEX(Empresas!$D:$D,MATCH(E88,Empresas!$A:$A,0)),"")</f>
        <v>60.536.286 SILVIO SCHURT</v>
      </c>
      <c r="G88" s="7" t="s">
        <v>633</v>
      </c>
      <c r="H88" s="16" t="str">
        <f aca="false">IFERROR(INDEX(Doc_Catalogo!$B:$B,MATCH(G88,Doc_Catalogo!$A:$A,0)),"")</f>
        <v>Contrato de prestacao de servicos entre tomador e empreiteiro</v>
      </c>
      <c r="I88" s="7" t="s">
        <v>1017</v>
      </c>
      <c r="J88" s="7" t="s">
        <v>1093</v>
      </c>
    </row>
    <row r="89" customFormat="false" ht="15" hidden="false" customHeight="false" outlineLevel="0" collapsed="false">
      <c r="A89" s="7" t="s">
        <v>1094</v>
      </c>
      <c r="B89" s="7" t="s">
        <v>454</v>
      </c>
      <c r="C89" s="16" t="str">
        <f aca="false">IFERROR(INDEX(Obras!$B:$B,MATCH(B89,Obras!$A:$A,0)),"")</f>
        <v>Hospital SC</v>
      </c>
      <c r="D89" s="7" t="s">
        <v>1000</v>
      </c>
      <c r="E89" s="7" t="s">
        <v>52</v>
      </c>
      <c r="F89" s="16" t="str">
        <f aca="false">IFERROR(INDEX(Empresas!$D:$D,MATCH(E89,Empresas!$A:$A,0)),"")</f>
        <v>60.555.952 GABRIEL SCHURT</v>
      </c>
      <c r="G89" s="7" t="s">
        <v>633</v>
      </c>
      <c r="H89" s="16" t="str">
        <f aca="false">IFERROR(INDEX(Doc_Catalogo!$B:$B,MATCH(G89,Doc_Catalogo!$A:$A,0)),"")</f>
        <v>Contrato de prestacao de servicos entre tomador e empreiteiro</v>
      </c>
      <c r="I89" s="7" t="s">
        <v>1017</v>
      </c>
      <c r="J89" s="7" t="s">
        <v>1093</v>
      </c>
    </row>
    <row r="90" customFormat="false" ht="15" hidden="false" customHeight="false" outlineLevel="0" collapsed="false">
      <c r="A90" s="6" t="s">
        <v>1095</v>
      </c>
      <c r="B90" s="6" t="s">
        <v>454</v>
      </c>
      <c r="C90" s="12" t="str">
        <f aca="false">IFERROR(INDEX(Obras!$B:$B,MATCH(B90,Obras!$A:$A,0)),"")</f>
        <v>Hospital SC</v>
      </c>
      <c r="D90" s="6" t="s">
        <v>1000</v>
      </c>
      <c r="E90" s="6" t="s">
        <v>43</v>
      </c>
      <c r="F90" s="12" t="str">
        <f aca="false">IFERROR(INDEX(Empresas!$D:$D,MATCH(E90,Empresas!$A:$A,0)),"")</f>
        <v>60.536.286 SILVIO SCHURT</v>
      </c>
      <c r="G90" s="6" t="s">
        <v>609</v>
      </c>
      <c r="H90" s="12" t="str">
        <f aca="false">IFERROR(INDEX(Doc_Catalogo!$B:$B,MATCH(G90,Doc_Catalogo!$A:$A,0)),"")</f>
        <v>PGR</v>
      </c>
      <c r="I90" s="6" t="s">
        <v>1001</v>
      </c>
      <c r="J90" s="6"/>
    </row>
    <row r="91" customFormat="false" ht="15" hidden="false" customHeight="false" outlineLevel="0" collapsed="false">
      <c r="A91" s="6" t="s">
        <v>1096</v>
      </c>
      <c r="B91" s="6" t="s">
        <v>454</v>
      </c>
      <c r="C91" s="12" t="str">
        <f aca="false">IFERROR(INDEX(Obras!$B:$B,MATCH(B91,Obras!$A:$A,0)),"")</f>
        <v>Hospital SC</v>
      </c>
      <c r="D91" s="6" t="s">
        <v>1000</v>
      </c>
      <c r="E91" s="6" t="s">
        <v>77</v>
      </c>
      <c r="F91" s="12" t="str">
        <f aca="false">IFERROR(INDEX(Empresas!$D:$D,MATCH(E91,Empresas!$A:$A,0)),"")</f>
        <v>DHS ELEVADORES LTDA</v>
      </c>
      <c r="G91" s="6" t="s">
        <v>609</v>
      </c>
      <c r="H91" s="12" t="str">
        <f aca="false">IFERROR(INDEX(Doc_Catalogo!$B:$B,MATCH(G91,Doc_Catalogo!$A:$A,0)),"")</f>
        <v>PGR</v>
      </c>
      <c r="I91" s="6" t="s">
        <v>1001</v>
      </c>
      <c r="J91" s="6"/>
    </row>
    <row r="92" customFormat="false" ht="15" hidden="false" customHeight="false" outlineLevel="0" collapsed="false">
      <c r="A92" s="6" t="s">
        <v>1097</v>
      </c>
      <c r="B92" s="6" t="s">
        <v>454</v>
      </c>
      <c r="C92" s="12" t="str">
        <f aca="false">IFERROR(INDEX(Obras!$B:$B,MATCH(B92,Obras!$A:$A,0)),"")</f>
        <v>Hospital SC</v>
      </c>
      <c r="D92" s="6" t="s">
        <v>1000</v>
      </c>
      <c r="E92" s="6" t="s">
        <v>52</v>
      </c>
      <c r="F92" s="12" t="str">
        <f aca="false">IFERROR(INDEX(Empresas!$D:$D,MATCH(E92,Empresas!$A:$A,0)),"")</f>
        <v>60.555.952 GABRIEL SCHURT</v>
      </c>
      <c r="G92" s="6" t="s">
        <v>609</v>
      </c>
      <c r="H92" s="12" t="str">
        <f aca="false">IFERROR(INDEX(Doc_Catalogo!$B:$B,MATCH(G92,Doc_Catalogo!$A:$A,0)),"")</f>
        <v>PGR</v>
      </c>
      <c r="I92" s="6" t="s">
        <v>1001</v>
      </c>
      <c r="J92" s="6"/>
    </row>
    <row r="93" customFormat="false" ht="15" hidden="false" customHeight="false" outlineLevel="0" collapsed="false">
      <c r="A93" s="6" t="s">
        <v>1098</v>
      </c>
      <c r="B93" s="6" t="s">
        <v>454</v>
      </c>
      <c r="C93" s="12" t="str">
        <f aca="false">IFERROR(INDEX(Obras!$B:$B,MATCH(B93,Obras!$A:$A,0)),"")</f>
        <v>Hospital SC</v>
      </c>
      <c r="D93" s="6" t="s">
        <v>1000</v>
      </c>
      <c r="E93" s="6" t="s">
        <v>161</v>
      </c>
      <c r="F93" s="12" t="str">
        <f aca="false">IFERROR(INDEX(Empresas!$D:$D,MATCH(E93,Empresas!$A:$A,0)),"")</f>
        <v>NEXT FLOOR LTDA</v>
      </c>
      <c r="G93" s="6" t="s">
        <v>609</v>
      </c>
      <c r="H93" s="12" t="str">
        <f aca="false">IFERROR(INDEX(Doc_Catalogo!$B:$B,MATCH(G93,Doc_Catalogo!$A:$A,0)),"")</f>
        <v>PGR</v>
      </c>
      <c r="I93" s="6" t="s">
        <v>1001</v>
      </c>
      <c r="J93" s="6"/>
    </row>
    <row r="94" customFormat="false" ht="15" hidden="false" customHeight="false" outlineLevel="0" collapsed="false">
      <c r="A94" s="6" t="s">
        <v>1099</v>
      </c>
      <c r="B94" s="6" t="s">
        <v>454</v>
      </c>
      <c r="C94" s="12" t="str">
        <f aca="false">IFERROR(INDEX(Obras!$B:$B,MATCH(B94,Obras!$A:$A,0)),"")</f>
        <v>Hospital SC</v>
      </c>
      <c r="D94" s="6" t="s">
        <v>1000</v>
      </c>
      <c r="E94" s="6" t="s">
        <v>43</v>
      </c>
      <c r="F94" s="12" t="str">
        <f aca="false">IFERROR(INDEX(Empresas!$D:$D,MATCH(E94,Empresas!$A:$A,0)),"")</f>
        <v>60.536.286 SILVIO SCHURT</v>
      </c>
      <c r="G94" s="6" t="s">
        <v>612</v>
      </c>
      <c r="H94" s="12" t="str">
        <f aca="false">IFERROR(INDEX(Doc_Catalogo!$B:$B,MATCH(G94,Doc_Catalogo!$A:$A,0)),"")</f>
        <v>PCMSO</v>
      </c>
      <c r="I94" s="6" t="s">
        <v>1001</v>
      </c>
      <c r="J94" s="6"/>
    </row>
    <row r="95" customFormat="false" ht="15" hidden="false" customHeight="false" outlineLevel="0" collapsed="false">
      <c r="A95" s="6" t="s">
        <v>1100</v>
      </c>
      <c r="B95" s="6" t="s">
        <v>454</v>
      </c>
      <c r="C95" s="12" t="str">
        <f aca="false">IFERROR(INDEX(Obras!$B:$B,MATCH(B95,Obras!$A:$A,0)),"")</f>
        <v>Hospital SC</v>
      </c>
      <c r="D95" s="6" t="s">
        <v>1000</v>
      </c>
      <c r="E95" s="6" t="s">
        <v>77</v>
      </c>
      <c r="F95" s="12" t="str">
        <f aca="false">IFERROR(INDEX(Empresas!$D:$D,MATCH(E95,Empresas!$A:$A,0)),"")</f>
        <v>DHS ELEVADORES LTDA</v>
      </c>
      <c r="G95" s="6" t="s">
        <v>612</v>
      </c>
      <c r="H95" s="12" t="str">
        <f aca="false">IFERROR(INDEX(Doc_Catalogo!$B:$B,MATCH(G95,Doc_Catalogo!$A:$A,0)),"")</f>
        <v>PCMSO</v>
      </c>
      <c r="I95" s="6" t="s">
        <v>1001</v>
      </c>
      <c r="J95" s="6"/>
    </row>
    <row r="96" customFormat="false" ht="15" hidden="false" customHeight="false" outlineLevel="0" collapsed="false">
      <c r="A96" s="6" t="s">
        <v>1101</v>
      </c>
      <c r="B96" s="6" t="s">
        <v>454</v>
      </c>
      <c r="C96" s="12" t="str">
        <f aca="false">IFERROR(INDEX(Obras!$B:$B,MATCH(B96,Obras!$A:$A,0)),"")</f>
        <v>Hospital SC</v>
      </c>
      <c r="D96" s="6" t="s">
        <v>1000</v>
      </c>
      <c r="E96" s="6" t="s">
        <v>52</v>
      </c>
      <c r="F96" s="12" t="str">
        <f aca="false">IFERROR(INDEX(Empresas!$D:$D,MATCH(E96,Empresas!$A:$A,0)),"")</f>
        <v>60.555.952 GABRIEL SCHURT</v>
      </c>
      <c r="G96" s="6" t="s">
        <v>612</v>
      </c>
      <c r="H96" s="12" t="str">
        <f aca="false">IFERROR(INDEX(Doc_Catalogo!$B:$B,MATCH(G96,Doc_Catalogo!$A:$A,0)),"")</f>
        <v>PCMSO</v>
      </c>
      <c r="I96" s="6" t="s">
        <v>1001</v>
      </c>
      <c r="J96" s="6"/>
    </row>
    <row r="97" customFormat="false" ht="15" hidden="false" customHeight="false" outlineLevel="0" collapsed="false">
      <c r="A97" s="6" t="s">
        <v>1102</v>
      </c>
      <c r="B97" s="6" t="s">
        <v>454</v>
      </c>
      <c r="C97" s="12" t="str">
        <f aca="false">IFERROR(INDEX(Obras!$B:$B,MATCH(B97,Obras!$A:$A,0)),"")</f>
        <v>Hospital SC</v>
      </c>
      <c r="D97" s="6" t="s">
        <v>1000</v>
      </c>
      <c r="E97" s="6" t="s">
        <v>161</v>
      </c>
      <c r="F97" s="12" t="str">
        <f aca="false">IFERROR(INDEX(Empresas!$D:$D,MATCH(E97,Empresas!$A:$A,0)),"")</f>
        <v>NEXT FLOOR LTDA</v>
      </c>
      <c r="G97" s="6" t="s">
        <v>612</v>
      </c>
      <c r="H97" s="12" t="str">
        <f aca="false">IFERROR(INDEX(Doc_Catalogo!$B:$B,MATCH(G97,Doc_Catalogo!$A:$A,0)),"")</f>
        <v>PCMSO</v>
      </c>
      <c r="I97" s="6" t="s">
        <v>1001</v>
      </c>
      <c r="J97" s="6"/>
    </row>
    <row r="98" customFormat="false" ht="15" hidden="false" customHeight="false" outlineLevel="0" collapsed="false">
      <c r="A98" s="6" t="s">
        <v>1103</v>
      </c>
      <c r="B98" s="6" t="s">
        <v>454</v>
      </c>
      <c r="C98" s="12" t="str">
        <f aca="false">IFERROR(INDEX(Obras!$B:$B,MATCH(B98,Obras!$A:$A,0)),"")</f>
        <v>Hospital SC</v>
      </c>
      <c r="D98" s="6" t="s">
        <v>1000</v>
      </c>
      <c r="E98" s="6" t="s">
        <v>205</v>
      </c>
      <c r="F98" s="12" t="str">
        <f aca="false">IFERROR(INDEX(Empresas!$D:$D,MATCH(E98,Empresas!$A:$A,0)),"")</f>
        <v>VERTICAL TECH ELEVADORES LTDA</v>
      </c>
      <c r="G98" s="6" t="s">
        <v>612</v>
      </c>
      <c r="H98" s="12" t="str">
        <f aca="false">IFERROR(INDEX(Doc_Catalogo!$B:$B,MATCH(G98,Doc_Catalogo!$A:$A,0)),"")</f>
        <v>PCMSO</v>
      </c>
      <c r="I98" s="6" t="s">
        <v>1001</v>
      </c>
      <c r="J98" s="6"/>
    </row>
    <row r="99" customFormat="false" ht="15" hidden="false" customHeight="false" outlineLevel="0" collapsed="false">
      <c r="A99" s="6" t="s">
        <v>1104</v>
      </c>
      <c r="B99" s="6" t="s">
        <v>454</v>
      </c>
      <c r="C99" s="12" t="str">
        <f aca="false">IFERROR(INDEX(Obras!$B:$B,MATCH(B99,Obras!$A:$A,0)),"")</f>
        <v>Hospital SC</v>
      </c>
      <c r="D99" s="6" t="s">
        <v>1000</v>
      </c>
      <c r="E99" s="6" t="s">
        <v>43</v>
      </c>
      <c r="F99" s="12" t="str">
        <f aca="false">IFERROR(INDEX(Empresas!$D:$D,MATCH(E99,Empresas!$A:$A,0)),"")</f>
        <v>60.536.286 SILVIO SCHURT</v>
      </c>
      <c r="G99" s="6" t="s">
        <v>505</v>
      </c>
      <c r="H99" s="12" t="str">
        <f aca="false">IFERROR(INDEX(Doc_Catalogo!$B:$B,MATCH(G99,Doc_Catalogo!$A:$A,0)),"")</f>
        <v>CNPJ (situacao cadastral)</v>
      </c>
      <c r="I99" s="6" t="s">
        <v>1001</v>
      </c>
      <c r="J99" s="6"/>
    </row>
    <row r="100" customFormat="false" ht="15" hidden="false" customHeight="false" outlineLevel="0" collapsed="false">
      <c r="A100" s="6" t="s">
        <v>1105</v>
      </c>
      <c r="B100" s="6" t="s">
        <v>454</v>
      </c>
      <c r="C100" s="12" t="str">
        <f aca="false">IFERROR(INDEX(Obras!$B:$B,MATCH(B100,Obras!$A:$A,0)),"")</f>
        <v>Hospital SC</v>
      </c>
      <c r="D100" s="6" t="s">
        <v>1000</v>
      </c>
      <c r="E100" s="6" t="s">
        <v>77</v>
      </c>
      <c r="F100" s="12" t="str">
        <f aca="false">IFERROR(INDEX(Empresas!$D:$D,MATCH(E100,Empresas!$A:$A,0)),"")</f>
        <v>DHS ELEVADORES LTDA</v>
      </c>
      <c r="G100" s="6" t="s">
        <v>505</v>
      </c>
      <c r="H100" s="12" t="str">
        <f aca="false">IFERROR(INDEX(Doc_Catalogo!$B:$B,MATCH(G100,Doc_Catalogo!$A:$A,0)),"")</f>
        <v>CNPJ (situacao cadastral)</v>
      </c>
      <c r="I100" s="6" t="s">
        <v>1001</v>
      </c>
      <c r="J100" s="6"/>
    </row>
    <row r="101" customFormat="false" ht="15" hidden="false" customHeight="false" outlineLevel="0" collapsed="false">
      <c r="A101" s="6" t="s">
        <v>1106</v>
      </c>
      <c r="B101" s="6" t="s">
        <v>454</v>
      </c>
      <c r="C101" s="12" t="str">
        <f aca="false">IFERROR(INDEX(Obras!$B:$B,MATCH(B101,Obras!$A:$A,0)),"")</f>
        <v>Hospital SC</v>
      </c>
      <c r="D101" s="6" t="s">
        <v>1000</v>
      </c>
      <c r="E101" s="6" t="s">
        <v>52</v>
      </c>
      <c r="F101" s="12" t="str">
        <f aca="false">IFERROR(INDEX(Empresas!$D:$D,MATCH(E101,Empresas!$A:$A,0)),"")</f>
        <v>60.555.952 GABRIEL SCHURT</v>
      </c>
      <c r="G101" s="6" t="s">
        <v>505</v>
      </c>
      <c r="H101" s="12" t="str">
        <f aca="false">IFERROR(INDEX(Doc_Catalogo!$B:$B,MATCH(G101,Doc_Catalogo!$A:$A,0)),"")</f>
        <v>CNPJ (situacao cadastral)</v>
      </c>
      <c r="I101" s="6" t="s">
        <v>1001</v>
      </c>
      <c r="J101" s="6"/>
    </row>
    <row r="102" customFormat="false" ht="15" hidden="false" customHeight="false" outlineLevel="0" collapsed="false">
      <c r="A102" s="6" t="s">
        <v>1107</v>
      </c>
      <c r="B102" s="6" t="s">
        <v>454</v>
      </c>
      <c r="C102" s="12" t="str">
        <f aca="false">IFERROR(INDEX(Obras!$B:$B,MATCH(B102,Obras!$A:$A,0)),"")</f>
        <v>Hospital SC</v>
      </c>
      <c r="D102" s="6" t="s">
        <v>1000</v>
      </c>
      <c r="E102" s="6" t="s">
        <v>161</v>
      </c>
      <c r="F102" s="12" t="str">
        <f aca="false">IFERROR(INDEX(Empresas!$D:$D,MATCH(E102,Empresas!$A:$A,0)),"")</f>
        <v>NEXT FLOOR LTDA</v>
      </c>
      <c r="G102" s="6" t="s">
        <v>505</v>
      </c>
      <c r="H102" s="12" t="str">
        <f aca="false">IFERROR(INDEX(Doc_Catalogo!$B:$B,MATCH(G102,Doc_Catalogo!$A:$A,0)),"")</f>
        <v>CNPJ (situacao cadastral)</v>
      </c>
      <c r="I102" s="6" t="s">
        <v>1001</v>
      </c>
      <c r="J102" s="6"/>
    </row>
    <row r="103" customFormat="false" ht="15" hidden="false" customHeight="false" outlineLevel="0" collapsed="false">
      <c r="A103" s="6" t="s">
        <v>1108</v>
      </c>
      <c r="B103" s="6" t="s">
        <v>454</v>
      </c>
      <c r="C103" s="12" t="str">
        <f aca="false">IFERROR(INDEX(Obras!$B:$B,MATCH(B103,Obras!$A:$A,0)),"")</f>
        <v>Hospital SC</v>
      </c>
      <c r="D103" s="6" t="s">
        <v>1000</v>
      </c>
      <c r="E103" s="6" t="s">
        <v>43</v>
      </c>
      <c r="F103" s="12" t="str">
        <f aca="false">IFERROR(INDEX(Empresas!$D:$D,MATCH(E103,Empresas!$A:$A,0)),"")</f>
        <v>60.536.286 SILVIO SCHURT</v>
      </c>
      <c r="G103" s="6" t="s">
        <v>621</v>
      </c>
      <c r="H103" s="12" t="str">
        <f aca="false">IFERROR(INDEX(Doc_Catalogo!$B:$B,MATCH(G103,Doc_Catalogo!$A:$A,0)),"")</f>
        <v>DARF</v>
      </c>
      <c r="I103" s="6" t="s">
        <v>1001</v>
      </c>
      <c r="J103" s="6"/>
    </row>
    <row r="104" customFormat="false" ht="15" hidden="false" customHeight="false" outlineLevel="0" collapsed="false">
      <c r="A104" s="6" t="s">
        <v>1109</v>
      </c>
      <c r="B104" s="6" t="s">
        <v>454</v>
      </c>
      <c r="C104" s="12" t="str">
        <f aca="false">IFERROR(INDEX(Obras!$B:$B,MATCH(B104,Obras!$A:$A,0)),"")</f>
        <v>Hospital SC</v>
      </c>
      <c r="D104" s="6" t="s">
        <v>1000</v>
      </c>
      <c r="E104" s="6" t="s">
        <v>77</v>
      </c>
      <c r="F104" s="12" t="str">
        <f aca="false">IFERROR(INDEX(Empresas!$D:$D,MATCH(E104,Empresas!$A:$A,0)),"")</f>
        <v>DHS ELEVADORES LTDA</v>
      </c>
      <c r="G104" s="6" t="s">
        <v>621</v>
      </c>
      <c r="H104" s="12" t="str">
        <f aca="false">IFERROR(INDEX(Doc_Catalogo!$B:$B,MATCH(G104,Doc_Catalogo!$A:$A,0)),"")</f>
        <v>DARF</v>
      </c>
      <c r="I104" s="6" t="s">
        <v>1001</v>
      </c>
      <c r="J104" s="6"/>
    </row>
    <row r="105" customFormat="false" ht="15" hidden="false" customHeight="false" outlineLevel="0" collapsed="false">
      <c r="A105" s="6" t="s">
        <v>1110</v>
      </c>
      <c r="B105" s="6" t="s">
        <v>454</v>
      </c>
      <c r="C105" s="12" t="str">
        <f aca="false">IFERROR(INDEX(Obras!$B:$B,MATCH(B105,Obras!$A:$A,0)),"")</f>
        <v>Hospital SC</v>
      </c>
      <c r="D105" s="6" t="s">
        <v>1000</v>
      </c>
      <c r="E105" s="6" t="s">
        <v>52</v>
      </c>
      <c r="F105" s="12" t="str">
        <f aca="false">IFERROR(INDEX(Empresas!$D:$D,MATCH(E105,Empresas!$A:$A,0)),"")</f>
        <v>60.555.952 GABRIEL SCHURT</v>
      </c>
      <c r="G105" s="6" t="s">
        <v>621</v>
      </c>
      <c r="H105" s="12" t="str">
        <f aca="false">IFERROR(INDEX(Doc_Catalogo!$B:$B,MATCH(G105,Doc_Catalogo!$A:$A,0)),"")</f>
        <v>DARF</v>
      </c>
      <c r="I105" s="6" t="s">
        <v>1001</v>
      </c>
      <c r="J105" s="6"/>
    </row>
    <row r="106" customFormat="false" ht="15" hidden="false" customHeight="false" outlineLevel="0" collapsed="false">
      <c r="A106" s="6" t="s">
        <v>1111</v>
      </c>
      <c r="B106" s="6" t="s">
        <v>454</v>
      </c>
      <c r="C106" s="12" t="str">
        <f aca="false">IFERROR(INDEX(Obras!$B:$B,MATCH(B106,Obras!$A:$A,0)),"")</f>
        <v>Hospital SC</v>
      </c>
      <c r="D106" s="6" t="s">
        <v>1000</v>
      </c>
      <c r="E106" s="6" t="s">
        <v>43</v>
      </c>
      <c r="F106" s="12" t="str">
        <f aca="false">IFERROR(INDEX(Empresas!$D:$D,MATCH(E106,Empresas!$A:$A,0)),"")</f>
        <v>60.536.286 SILVIO SCHURT</v>
      </c>
      <c r="G106" s="6" t="s">
        <v>624</v>
      </c>
      <c r="H106" s="12" t="str">
        <f aca="false">IFERROR(INDEX(Doc_Catalogo!$B:$B,MATCH(G106,Doc_Catalogo!$A:$A,0)),"")</f>
        <v>DCTF</v>
      </c>
      <c r="I106" s="6" t="s">
        <v>1001</v>
      </c>
      <c r="J106" s="6"/>
    </row>
    <row r="107" customFormat="false" ht="15" hidden="false" customHeight="false" outlineLevel="0" collapsed="false">
      <c r="A107" s="6" t="s">
        <v>1112</v>
      </c>
      <c r="B107" s="6" t="s">
        <v>454</v>
      </c>
      <c r="C107" s="12" t="str">
        <f aca="false">IFERROR(INDEX(Obras!$B:$B,MATCH(B107,Obras!$A:$A,0)),"")</f>
        <v>Hospital SC</v>
      </c>
      <c r="D107" s="6" t="s">
        <v>1000</v>
      </c>
      <c r="E107" s="6" t="s">
        <v>77</v>
      </c>
      <c r="F107" s="12" t="str">
        <f aca="false">IFERROR(INDEX(Empresas!$D:$D,MATCH(E107,Empresas!$A:$A,0)),"")</f>
        <v>DHS ELEVADORES LTDA</v>
      </c>
      <c r="G107" s="6" t="s">
        <v>624</v>
      </c>
      <c r="H107" s="12" t="str">
        <f aca="false">IFERROR(INDEX(Doc_Catalogo!$B:$B,MATCH(G107,Doc_Catalogo!$A:$A,0)),"")</f>
        <v>DCTF</v>
      </c>
      <c r="I107" s="6" t="s">
        <v>1001</v>
      </c>
      <c r="J107" s="6"/>
    </row>
    <row r="108" customFormat="false" ht="15" hidden="false" customHeight="false" outlineLevel="0" collapsed="false">
      <c r="A108" s="6" t="s">
        <v>1113</v>
      </c>
      <c r="B108" s="6" t="s">
        <v>454</v>
      </c>
      <c r="C108" s="12" t="str">
        <f aca="false">IFERROR(INDEX(Obras!$B:$B,MATCH(B108,Obras!$A:$A,0)),"")</f>
        <v>Hospital SC</v>
      </c>
      <c r="D108" s="6" t="s">
        <v>1000</v>
      </c>
      <c r="E108" s="6" t="s">
        <v>52</v>
      </c>
      <c r="F108" s="12" t="str">
        <f aca="false">IFERROR(INDEX(Empresas!$D:$D,MATCH(E108,Empresas!$A:$A,0)),"")</f>
        <v>60.555.952 GABRIEL SCHURT</v>
      </c>
      <c r="G108" s="6" t="s">
        <v>624</v>
      </c>
      <c r="H108" s="12" t="str">
        <f aca="false">IFERROR(INDEX(Doc_Catalogo!$B:$B,MATCH(G108,Doc_Catalogo!$A:$A,0)),"")</f>
        <v>DCTF</v>
      </c>
      <c r="I108" s="6" t="s">
        <v>1001</v>
      </c>
      <c r="J108" s="6"/>
    </row>
    <row r="109" customFormat="false" ht="15" hidden="false" customHeight="false" outlineLevel="0" collapsed="false">
      <c r="A109" s="6" t="s">
        <v>1114</v>
      </c>
      <c r="B109" s="6" t="s">
        <v>454</v>
      </c>
      <c r="C109" s="12" t="str">
        <f aca="false">IFERROR(INDEX(Obras!$B:$B,MATCH(B109,Obras!$A:$A,0)),"")</f>
        <v>Hospital SC</v>
      </c>
      <c r="D109" s="6" t="s">
        <v>1000</v>
      </c>
      <c r="E109" s="6" t="s">
        <v>43</v>
      </c>
      <c r="F109" s="12" t="str">
        <f aca="false">IFERROR(INDEX(Empresas!$D:$D,MATCH(E109,Empresas!$A:$A,0)),"")</f>
        <v>60.536.286 SILVIO SCHURT</v>
      </c>
      <c r="G109" s="6" t="s">
        <v>640</v>
      </c>
      <c r="H109" s="12" t="str">
        <f aca="false">IFERROR(INDEX(Doc_Catalogo!$B:$B,MATCH(G109,Doc_Catalogo!$A:$A,0)),"")</f>
        <v>Alvara de Localizacao e Funcionamento (Prefeitura)</v>
      </c>
      <c r="I109" s="6" t="s">
        <v>1003</v>
      </c>
      <c r="J109" s="6"/>
    </row>
    <row r="110" customFormat="false" ht="15" hidden="false" customHeight="false" outlineLevel="0" collapsed="false">
      <c r="A110" s="6" t="s">
        <v>1115</v>
      </c>
      <c r="B110" s="6" t="s">
        <v>454</v>
      </c>
      <c r="C110" s="12" t="str">
        <f aca="false">IFERROR(INDEX(Obras!$B:$B,MATCH(B110,Obras!$A:$A,0)),"")</f>
        <v>Hospital SC</v>
      </c>
      <c r="D110" s="6" t="s">
        <v>1000</v>
      </c>
      <c r="E110" s="6" t="s">
        <v>77</v>
      </c>
      <c r="F110" s="12" t="str">
        <f aca="false">IFERROR(INDEX(Empresas!$D:$D,MATCH(E110,Empresas!$A:$A,0)),"")</f>
        <v>DHS ELEVADORES LTDA</v>
      </c>
      <c r="G110" s="6" t="s">
        <v>640</v>
      </c>
      <c r="H110" s="12" t="str">
        <f aca="false">IFERROR(INDEX(Doc_Catalogo!$B:$B,MATCH(G110,Doc_Catalogo!$A:$A,0)),"")</f>
        <v>Alvara de Localizacao e Funcionamento (Prefeitura)</v>
      </c>
      <c r="I110" s="6" t="s">
        <v>1001</v>
      </c>
      <c r="J110" s="6"/>
    </row>
    <row r="111" customFormat="false" ht="15" hidden="false" customHeight="false" outlineLevel="0" collapsed="false">
      <c r="A111" s="6" t="s">
        <v>1116</v>
      </c>
      <c r="B111" s="6" t="s">
        <v>454</v>
      </c>
      <c r="C111" s="12" t="str">
        <f aca="false">IFERROR(INDEX(Obras!$B:$B,MATCH(B111,Obras!$A:$A,0)),"")</f>
        <v>Hospital SC</v>
      </c>
      <c r="D111" s="6" t="s">
        <v>1000</v>
      </c>
      <c r="E111" s="6" t="s">
        <v>52</v>
      </c>
      <c r="F111" s="12" t="str">
        <f aca="false">IFERROR(INDEX(Empresas!$D:$D,MATCH(E111,Empresas!$A:$A,0)),"")</f>
        <v>60.555.952 GABRIEL SCHURT</v>
      </c>
      <c r="G111" s="6" t="s">
        <v>640</v>
      </c>
      <c r="H111" s="12" t="str">
        <f aca="false">IFERROR(INDEX(Doc_Catalogo!$B:$B,MATCH(G111,Doc_Catalogo!$A:$A,0)),"")</f>
        <v>Alvara de Localizacao e Funcionamento (Prefeitura)</v>
      </c>
      <c r="I111" s="6" t="s">
        <v>1003</v>
      </c>
      <c r="J111" s="6"/>
    </row>
    <row r="112" customFormat="false" ht="15" hidden="false" customHeight="false" outlineLevel="0" collapsed="false">
      <c r="A112" s="6" t="s">
        <v>1117</v>
      </c>
      <c r="B112" s="6" t="s">
        <v>454</v>
      </c>
      <c r="C112" s="12" t="str">
        <f aca="false">IFERROR(INDEX(Obras!$B:$B,MATCH(B112,Obras!$A:$A,0)),"")</f>
        <v>Hospital SC</v>
      </c>
      <c r="D112" s="6" t="s">
        <v>1000</v>
      </c>
      <c r="E112" s="6" t="s">
        <v>43</v>
      </c>
      <c r="F112" s="12" t="str">
        <f aca="false">IFERROR(INDEX(Empresas!$D:$D,MATCH(E112,Empresas!$A:$A,0)),"")</f>
        <v>60.536.286 SILVIO SCHURT</v>
      </c>
      <c r="G112" s="6" t="s">
        <v>643</v>
      </c>
      <c r="H112" s="12" t="str">
        <f aca="false">IFERROR(INDEX(Doc_Catalogo!$B:$B,MATCH(G112,Doc_Catalogo!$A:$A,0)),"")</f>
        <v>Documentos pessoais do empreiteiro e socios</v>
      </c>
      <c r="I112" s="6" t="s">
        <v>1001</v>
      </c>
      <c r="J112" s="6"/>
    </row>
    <row r="113" customFormat="false" ht="15" hidden="false" customHeight="false" outlineLevel="0" collapsed="false">
      <c r="A113" s="6" t="s">
        <v>1118</v>
      </c>
      <c r="B113" s="6" t="s">
        <v>454</v>
      </c>
      <c r="C113" s="12" t="str">
        <f aca="false">IFERROR(INDEX(Obras!$B:$B,MATCH(B113,Obras!$A:$A,0)),"")</f>
        <v>Hospital SC</v>
      </c>
      <c r="D113" s="6" t="s">
        <v>1000</v>
      </c>
      <c r="E113" s="6" t="s">
        <v>77</v>
      </c>
      <c r="F113" s="12" t="str">
        <f aca="false">IFERROR(INDEX(Empresas!$D:$D,MATCH(E113,Empresas!$A:$A,0)),"")</f>
        <v>DHS ELEVADORES LTDA</v>
      </c>
      <c r="G113" s="6" t="s">
        <v>643</v>
      </c>
      <c r="H113" s="12" t="str">
        <f aca="false">IFERROR(INDEX(Doc_Catalogo!$B:$B,MATCH(G113,Doc_Catalogo!$A:$A,0)),"")</f>
        <v>Documentos pessoais do empreiteiro e socios</v>
      </c>
      <c r="I113" s="6" t="s">
        <v>1001</v>
      </c>
      <c r="J113" s="6"/>
    </row>
    <row r="114" customFormat="false" ht="15" hidden="false" customHeight="false" outlineLevel="0" collapsed="false">
      <c r="A114" s="6" t="s">
        <v>1119</v>
      </c>
      <c r="B114" s="6" t="s">
        <v>454</v>
      </c>
      <c r="C114" s="12" t="str">
        <f aca="false">IFERROR(INDEX(Obras!$B:$B,MATCH(B114,Obras!$A:$A,0)),"")</f>
        <v>Hospital SC</v>
      </c>
      <c r="D114" s="6" t="s">
        <v>1000</v>
      </c>
      <c r="E114" s="6" t="s">
        <v>52</v>
      </c>
      <c r="F114" s="12" t="str">
        <f aca="false">IFERROR(INDEX(Empresas!$D:$D,MATCH(E114,Empresas!$A:$A,0)),"")</f>
        <v>60.555.952 GABRIEL SCHURT</v>
      </c>
      <c r="G114" s="6" t="s">
        <v>643</v>
      </c>
      <c r="H114" s="12" t="str">
        <f aca="false">IFERROR(INDEX(Doc_Catalogo!$B:$B,MATCH(G114,Doc_Catalogo!$A:$A,0)),"")</f>
        <v>Documentos pessoais do empreiteiro e socios</v>
      </c>
      <c r="I114" s="6" t="s">
        <v>1001</v>
      </c>
      <c r="J114" s="6"/>
    </row>
    <row r="115" customFormat="false" ht="15" hidden="false" customHeight="false" outlineLevel="0" collapsed="false">
      <c r="A115" s="6" t="s">
        <v>1120</v>
      </c>
      <c r="B115" s="6" t="s">
        <v>454</v>
      </c>
      <c r="C115" s="12" t="str">
        <f aca="false">IFERROR(INDEX(Obras!$B:$B,MATCH(B115,Obras!$A:$A,0)),"")</f>
        <v>Hospital SC</v>
      </c>
      <c r="D115" s="6" t="s">
        <v>1000</v>
      </c>
      <c r="E115" s="6" t="s">
        <v>43</v>
      </c>
      <c r="F115" s="12" t="str">
        <f aca="false">IFERROR(INDEX(Empresas!$D:$D,MATCH(E115,Empresas!$A:$A,0)),"")</f>
        <v>60.536.286 SILVIO SCHURT</v>
      </c>
      <c r="G115" s="6" t="s">
        <v>645</v>
      </c>
      <c r="H115" s="12" t="str">
        <f aca="false">IFERROR(INDEX(Doc_Catalogo!$B:$B,MATCH(G115,Doc_Catalogo!$A:$A,0)),"")</f>
        <v>Comprovante de endereco do empreiteiro e socios</v>
      </c>
      <c r="I115" s="6" t="s">
        <v>1001</v>
      </c>
      <c r="J115" s="6"/>
    </row>
    <row r="116" customFormat="false" ht="15" hidden="false" customHeight="false" outlineLevel="0" collapsed="false">
      <c r="A116" s="6" t="s">
        <v>1121</v>
      </c>
      <c r="B116" s="6" t="s">
        <v>454</v>
      </c>
      <c r="C116" s="12" t="str">
        <f aca="false">IFERROR(INDEX(Obras!$B:$B,MATCH(B116,Obras!$A:$A,0)),"")</f>
        <v>Hospital SC</v>
      </c>
      <c r="D116" s="6" t="s">
        <v>1000</v>
      </c>
      <c r="E116" s="6" t="s">
        <v>77</v>
      </c>
      <c r="F116" s="12" t="str">
        <f aca="false">IFERROR(INDEX(Empresas!$D:$D,MATCH(E116,Empresas!$A:$A,0)),"")</f>
        <v>DHS ELEVADORES LTDA</v>
      </c>
      <c r="G116" s="6" t="s">
        <v>645</v>
      </c>
      <c r="H116" s="12" t="str">
        <f aca="false">IFERROR(INDEX(Doc_Catalogo!$B:$B,MATCH(G116,Doc_Catalogo!$A:$A,0)),"")</f>
        <v>Comprovante de endereco do empreiteiro e socios</v>
      </c>
      <c r="I116" s="6" t="s">
        <v>1001</v>
      </c>
      <c r="J116" s="6"/>
    </row>
    <row r="117" customFormat="false" ht="15" hidden="false" customHeight="false" outlineLevel="0" collapsed="false">
      <c r="A117" s="6" t="s">
        <v>1122</v>
      </c>
      <c r="B117" s="6" t="s">
        <v>454</v>
      </c>
      <c r="C117" s="12" t="str">
        <f aca="false">IFERROR(INDEX(Obras!$B:$B,MATCH(B117,Obras!$A:$A,0)),"")</f>
        <v>Hospital SC</v>
      </c>
      <c r="D117" s="6" t="s">
        <v>1000</v>
      </c>
      <c r="E117" s="6" t="s">
        <v>52</v>
      </c>
      <c r="F117" s="12" t="str">
        <f aca="false">IFERROR(INDEX(Empresas!$D:$D,MATCH(E117,Empresas!$A:$A,0)),"")</f>
        <v>60.555.952 GABRIEL SCHURT</v>
      </c>
      <c r="G117" s="6" t="s">
        <v>645</v>
      </c>
      <c r="H117" s="12" t="str">
        <f aca="false">IFERROR(INDEX(Doc_Catalogo!$B:$B,MATCH(G117,Doc_Catalogo!$A:$A,0)),"")</f>
        <v>Comprovante de endereco do empreiteiro e socios</v>
      </c>
      <c r="I117" s="6" t="s">
        <v>1001</v>
      </c>
      <c r="J117" s="6"/>
    </row>
    <row r="118" customFormat="false" ht="15" hidden="false" customHeight="false" outlineLevel="0" collapsed="false">
      <c r="A118" s="6" t="s">
        <v>1123</v>
      </c>
      <c r="B118" s="6" t="s">
        <v>454</v>
      </c>
      <c r="C118" s="12" t="str">
        <f aca="false">IFERROR(INDEX(Obras!$B:$B,MATCH(B118,Obras!$A:$A,0)),"")</f>
        <v>Hospital SC</v>
      </c>
      <c r="D118" s="6" t="s">
        <v>1000</v>
      </c>
      <c r="E118" s="6" t="s">
        <v>43</v>
      </c>
      <c r="F118" s="12" t="str">
        <f aca="false">IFERROR(INDEX(Empresas!$D:$D,MATCH(E118,Empresas!$A:$A,0)),"")</f>
        <v>60.536.286 SILVIO SCHURT</v>
      </c>
      <c r="G118" s="6" t="s">
        <v>647</v>
      </c>
      <c r="H118" s="12" t="str">
        <f aca="false">IFERROR(INDEX(Doc_Catalogo!$B:$B,MATCH(G118,Doc_Catalogo!$A:$A,0)),"")</f>
        <v>Comprovante mensal de pagamento do Seguro de Vida dos Trabalhadores</v>
      </c>
      <c r="I118" s="6" t="s">
        <v>1001</v>
      </c>
      <c r="J118" s="6"/>
    </row>
    <row r="119" customFormat="false" ht="15" hidden="false" customHeight="false" outlineLevel="0" collapsed="false">
      <c r="A119" s="6" t="s">
        <v>1124</v>
      </c>
      <c r="B119" s="6" t="s">
        <v>454</v>
      </c>
      <c r="C119" s="12" t="str">
        <f aca="false">IFERROR(INDEX(Obras!$B:$B,MATCH(B119,Obras!$A:$A,0)),"")</f>
        <v>Hospital SC</v>
      </c>
      <c r="D119" s="6" t="s">
        <v>1000</v>
      </c>
      <c r="E119" s="6" t="s">
        <v>77</v>
      </c>
      <c r="F119" s="12" t="str">
        <f aca="false">IFERROR(INDEX(Empresas!$D:$D,MATCH(E119,Empresas!$A:$A,0)),"")</f>
        <v>DHS ELEVADORES LTDA</v>
      </c>
      <c r="G119" s="6" t="s">
        <v>647</v>
      </c>
      <c r="H119" s="12" t="str">
        <f aca="false">IFERROR(INDEX(Doc_Catalogo!$B:$B,MATCH(G119,Doc_Catalogo!$A:$A,0)),"")</f>
        <v>Comprovante mensal de pagamento do Seguro de Vida dos Trabalhadores</v>
      </c>
      <c r="I119" s="6" t="s">
        <v>1001</v>
      </c>
      <c r="J119" s="6"/>
    </row>
    <row r="120" customFormat="false" ht="15" hidden="false" customHeight="false" outlineLevel="0" collapsed="false">
      <c r="A120" s="6" t="s">
        <v>1125</v>
      </c>
      <c r="B120" s="6" t="s">
        <v>454</v>
      </c>
      <c r="C120" s="12" t="str">
        <f aca="false">IFERROR(INDEX(Obras!$B:$B,MATCH(B120,Obras!$A:$A,0)),"")</f>
        <v>Hospital SC</v>
      </c>
      <c r="D120" s="6" t="s">
        <v>1000</v>
      </c>
      <c r="E120" s="6" t="s">
        <v>52</v>
      </c>
      <c r="F120" s="12" t="str">
        <f aca="false">IFERROR(INDEX(Empresas!$D:$D,MATCH(E120,Empresas!$A:$A,0)),"")</f>
        <v>60.555.952 GABRIEL SCHURT</v>
      </c>
      <c r="G120" s="6" t="s">
        <v>647</v>
      </c>
      <c r="H120" s="12" t="str">
        <f aca="false">IFERROR(INDEX(Doc_Catalogo!$B:$B,MATCH(G120,Doc_Catalogo!$A:$A,0)),"")</f>
        <v>Comprovante mensal de pagamento do Seguro de Vida dos Trabalhadores</v>
      </c>
      <c r="I120" s="6" t="s">
        <v>1001</v>
      </c>
      <c r="J120" s="6"/>
    </row>
    <row r="121" customFormat="false" ht="15" hidden="false" customHeight="false" outlineLevel="0" collapsed="false">
      <c r="A121" s="6" t="s">
        <v>1126</v>
      </c>
      <c r="B121" s="6" t="s">
        <v>454</v>
      </c>
      <c r="C121" s="12" t="str">
        <f aca="false">IFERROR(INDEX(Obras!$B:$B,MATCH(B121,Obras!$A:$A,0)),"")</f>
        <v>Hospital SC</v>
      </c>
      <c r="D121" s="6" t="s">
        <v>1000</v>
      </c>
      <c r="E121" s="6" t="s">
        <v>43</v>
      </c>
      <c r="F121" s="12" t="str">
        <f aca="false">IFERROR(INDEX(Empresas!$D:$D,MATCH(E121,Empresas!$A:$A,0)),"")</f>
        <v>60.536.286 SILVIO SCHURT</v>
      </c>
      <c r="G121" s="6" t="s">
        <v>649</v>
      </c>
      <c r="H121" s="12" t="str">
        <f aca="false">IFERROR(INDEX(Doc_Catalogo!$B:$B,MATCH(G121,Doc_Catalogo!$A:$A,0)),"")</f>
        <v>Certidao de feitos trabalhistas do foro da sede do empreiteiro</v>
      </c>
      <c r="I121" s="6" t="s">
        <v>1003</v>
      </c>
      <c r="J121" s="6"/>
    </row>
    <row r="122" customFormat="false" ht="15" hidden="false" customHeight="false" outlineLevel="0" collapsed="false">
      <c r="A122" s="6" t="s">
        <v>1127</v>
      </c>
      <c r="B122" s="6" t="s">
        <v>454</v>
      </c>
      <c r="C122" s="12" t="str">
        <f aca="false">IFERROR(INDEX(Obras!$B:$B,MATCH(B122,Obras!$A:$A,0)),"")</f>
        <v>Hospital SC</v>
      </c>
      <c r="D122" s="6" t="s">
        <v>1000</v>
      </c>
      <c r="E122" s="6" t="s">
        <v>77</v>
      </c>
      <c r="F122" s="12" t="str">
        <f aca="false">IFERROR(INDEX(Empresas!$D:$D,MATCH(E122,Empresas!$A:$A,0)),"")</f>
        <v>DHS ELEVADORES LTDA</v>
      </c>
      <c r="G122" s="6" t="s">
        <v>649</v>
      </c>
      <c r="H122" s="12" t="str">
        <f aca="false">IFERROR(INDEX(Doc_Catalogo!$B:$B,MATCH(G122,Doc_Catalogo!$A:$A,0)),"")</f>
        <v>Certidao de feitos trabalhistas do foro da sede do empreiteiro</v>
      </c>
      <c r="I122" s="6" t="s">
        <v>1001</v>
      </c>
      <c r="J122" s="6"/>
    </row>
    <row r="123" customFormat="false" ht="15" hidden="false" customHeight="false" outlineLevel="0" collapsed="false">
      <c r="A123" s="6" t="s">
        <v>1128</v>
      </c>
      <c r="B123" s="6" t="s">
        <v>454</v>
      </c>
      <c r="C123" s="12" t="str">
        <f aca="false">IFERROR(INDEX(Obras!$B:$B,MATCH(B123,Obras!$A:$A,0)),"")</f>
        <v>Hospital SC</v>
      </c>
      <c r="D123" s="6" t="s">
        <v>1000</v>
      </c>
      <c r="E123" s="6" t="s">
        <v>52</v>
      </c>
      <c r="F123" s="12" t="str">
        <f aca="false">IFERROR(INDEX(Empresas!$D:$D,MATCH(E123,Empresas!$A:$A,0)),"")</f>
        <v>60.555.952 GABRIEL SCHURT</v>
      </c>
      <c r="G123" s="6" t="s">
        <v>649</v>
      </c>
      <c r="H123" s="12" t="str">
        <f aca="false">IFERROR(INDEX(Doc_Catalogo!$B:$B,MATCH(G123,Doc_Catalogo!$A:$A,0)),"")</f>
        <v>Certidao de feitos trabalhistas do foro da sede do empreiteiro</v>
      </c>
      <c r="I123" s="6" t="s">
        <v>1003</v>
      </c>
      <c r="J123" s="6"/>
    </row>
    <row r="124" customFormat="false" ht="15" hidden="false" customHeight="false" outlineLevel="0" collapsed="false">
      <c r="A124" s="6" t="s">
        <v>1129</v>
      </c>
      <c r="B124" s="6" t="s">
        <v>454</v>
      </c>
      <c r="C124" s="12" t="str">
        <f aca="false">IFERROR(INDEX(Obras!$B:$B,MATCH(B124,Obras!$A:$A,0)),"")</f>
        <v>Hospital SC</v>
      </c>
      <c r="D124" s="6" t="s">
        <v>1000</v>
      </c>
      <c r="E124" s="6" t="s">
        <v>43</v>
      </c>
      <c r="F124" s="12" t="str">
        <f aca="false">IFERROR(INDEX(Empresas!$D:$D,MATCH(E124,Empresas!$A:$A,0)),"")</f>
        <v>60.536.286 SILVIO SCHURT</v>
      </c>
      <c r="G124" s="6" t="s">
        <v>651</v>
      </c>
      <c r="H124" s="12" t="str">
        <f aca="false">IFERROR(INDEX(Doc_Catalogo!$B:$B,MATCH(G124,Doc_Catalogo!$A:$A,0)),"")</f>
        <v>Declaracao Treinamento do SECONCI</v>
      </c>
      <c r="I124" s="6" t="s">
        <v>1003</v>
      </c>
      <c r="J124" s="6"/>
    </row>
    <row r="125" customFormat="false" ht="15" hidden="false" customHeight="false" outlineLevel="0" collapsed="false">
      <c r="A125" s="6" t="s">
        <v>1130</v>
      </c>
      <c r="B125" s="6" t="s">
        <v>454</v>
      </c>
      <c r="C125" s="12" t="str">
        <f aca="false">IFERROR(INDEX(Obras!$B:$B,MATCH(B125,Obras!$A:$A,0)),"")</f>
        <v>Hospital SC</v>
      </c>
      <c r="D125" s="6" t="s">
        <v>1000</v>
      </c>
      <c r="E125" s="6" t="s">
        <v>77</v>
      </c>
      <c r="F125" s="12" t="str">
        <f aca="false">IFERROR(INDEX(Empresas!$D:$D,MATCH(E125,Empresas!$A:$A,0)),"")</f>
        <v>DHS ELEVADORES LTDA</v>
      </c>
      <c r="G125" s="6" t="s">
        <v>651</v>
      </c>
      <c r="H125" s="12" t="str">
        <f aca="false">IFERROR(INDEX(Doc_Catalogo!$B:$B,MATCH(G125,Doc_Catalogo!$A:$A,0)),"")</f>
        <v>Declaracao Treinamento do SECONCI</v>
      </c>
      <c r="I125" s="6" t="s">
        <v>1003</v>
      </c>
      <c r="J125" s="6"/>
    </row>
    <row r="126" customFormat="false" ht="15" hidden="false" customHeight="false" outlineLevel="0" collapsed="false">
      <c r="A126" s="6" t="s">
        <v>1131</v>
      </c>
      <c r="B126" s="6" t="s">
        <v>454</v>
      </c>
      <c r="C126" s="12" t="str">
        <f aca="false">IFERROR(INDEX(Obras!$B:$B,MATCH(B126,Obras!$A:$A,0)),"")</f>
        <v>Hospital SC</v>
      </c>
      <c r="D126" s="6" t="s">
        <v>1000</v>
      </c>
      <c r="E126" s="6" t="s">
        <v>52</v>
      </c>
      <c r="F126" s="12" t="str">
        <f aca="false">IFERROR(INDEX(Empresas!$D:$D,MATCH(E126,Empresas!$A:$A,0)),"")</f>
        <v>60.555.952 GABRIEL SCHURT</v>
      </c>
      <c r="G126" s="6" t="s">
        <v>651</v>
      </c>
      <c r="H126" s="12" t="str">
        <f aca="false">IFERROR(INDEX(Doc_Catalogo!$B:$B,MATCH(G126,Doc_Catalogo!$A:$A,0)),"")</f>
        <v>Declaracao Treinamento do SECONCI</v>
      </c>
      <c r="I126" s="6" t="s">
        <v>1003</v>
      </c>
      <c r="J126" s="6"/>
    </row>
    <row r="127" customFormat="false" ht="15" hidden="false" customHeight="false" outlineLevel="0" collapsed="false">
      <c r="A127" s="6" t="s">
        <v>1132</v>
      </c>
      <c r="B127" s="6" t="s">
        <v>454</v>
      </c>
      <c r="C127" s="12" t="str">
        <f aca="false">IFERROR(INDEX(Obras!$B:$B,MATCH(B127,Obras!$A:$A,0)),"")</f>
        <v>Hospital SC</v>
      </c>
      <c r="D127" s="6" t="s">
        <v>1000</v>
      </c>
      <c r="E127" s="6" t="s">
        <v>161</v>
      </c>
      <c r="F127" s="12" t="str">
        <f aca="false">IFERROR(INDEX(Empresas!$D:$D,MATCH(E127,Empresas!$A:$A,0)),"")</f>
        <v>NEXT FLOOR LTDA</v>
      </c>
      <c r="G127" s="6" t="s">
        <v>651</v>
      </c>
      <c r="H127" s="12" t="str">
        <f aca="false">IFERROR(INDEX(Doc_Catalogo!$B:$B,MATCH(G127,Doc_Catalogo!$A:$A,0)),"")</f>
        <v>Declaracao Treinamento do SECONCI</v>
      </c>
      <c r="I127" s="6" t="s">
        <v>1003</v>
      </c>
      <c r="J127" s="6"/>
    </row>
    <row r="128" customFormat="false" ht="15" hidden="false" customHeight="false" outlineLevel="0" collapsed="false">
      <c r="A128" s="6" t="s">
        <v>1133</v>
      </c>
      <c r="B128" s="6" t="s">
        <v>454</v>
      </c>
      <c r="C128" s="12" t="str">
        <f aca="false">IFERROR(INDEX(Obras!$B:$B,MATCH(B128,Obras!$A:$A,0)),"")</f>
        <v>Hospital SC</v>
      </c>
      <c r="D128" s="6" t="s">
        <v>1000</v>
      </c>
      <c r="E128" s="6" t="s">
        <v>43</v>
      </c>
      <c r="F128" s="12" t="str">
        <f aca="false">IFERROR(INDEX(Empresas!$D:$D,MATCH(E128,Empresas!$A:$A,0)),"")</f>
        <v>60.536.286 SILVIO SCHURT</v>
      </c>
      <c r="G128" s="6" t="s">
        <v>653</v>
      </c>
      <c r="H128" s="12" t="str">
        <f aca="false">IFERROR(INDEX(Doc_Catalogo!$B:$B,MATCH(G128,Doc_Catalogo!$A:$A,0)),"")</f>
        <v>Declaracao da contabilidade do empreiteiro</v>
      </c>
      <c r="I128" s="6" t="s">
        <v>1001</v>
      </c>
      <c r="J128" s="6"/>
    </row>
    <row r="129" customFormat="false" ht="15" hidden="false" customHeight="false" outlineLevel="0" collapsed="false">
      <c r="A129" s="6" t="s">
        <v>1134</v>
      </c>
      <c r="B129" s="6" t="s">
        <v>454</v>
      </c>
      <c r="C129" s="12" t="str">
        <f aca="false">IFERROR(INDEX(Obras!$B:$B,MATCH(B129,Obras!$A:$A,0)),"")</f>
        <v>Hospital SC</v>
      </c>
      <c r="D129" s="6" t="s">
        <v>1000</v>
      </c>
      <c r="E129" s="6" t="s">
        <v>77</v>
      </c>
      <c r="F129" s="12" t="str">
        <f aca="false">IFERROR(INDEX(Empresas!$D:$D,MATCH(E129,Empresas!$A:$A,0)),"")</f>
        <v>DHS ELEVADORES LTDA</v>
      </c>
      <c r="G129" s="6" t="s">
        <v>653</v>
      </c>
      <c r="H129" s="12" t="str">
        <f aca="false">IFERROR(INDEX(Doc_Catalogo!$B:$B,MATCH(G129,Doc_Catalogo!$A:$A,0)),"")</f>
        <v>Declaracao da contabilidade do empreiteiro</v>
      </c>
      <c r="I129" s="6" t="s">
        <v>1001</v>
      </c>
      <c r="J129" s="6"/>
    </row>
    <row r="130" customFormat="false" ht="15" hidden="false" customHeight="false" outlineLevel="0" collapsed="false">
      <c r="A130" s="6" t="s">
        <v>1135</v>
      </c>
      <c r="B130" s="6" t="s">
        <v>454</v>
      </c>
      <c r="C130" s="12" t="str">
        <f aca="false">IFERROR(INDEX(Obras!$B:$B,MATCH(B130,Obras!$A:$A,0)),"")</f>
        <v>Hospital SC</v>
      </c>
      <c r="D130" s="6" t="s">
        <v>1000</v>
      </c>
      <c r="E130" s="6" t="s">
        <v>52</v>
      </c>
      <c r="F130" s="12" t="str">
        <f aca="false">IFERROR(INDEX(Empresas!$D:$D,MATCH(E130,Empresas!$A:$A,0)),"")</f>
        <v>60.555.952 GABRIEL SCHURT</v>
      </c>
      <c r="G130" s="6" t="s">
        <v>653</v>
      </c>
      <c r="H130" s="12" t="str">
        <f aca="false">IFERROR(INDEX(Doc_Catalogo!$B:$B,MATCH(G130,Doc_Catalogo!$A:$A,0)),"")</f>
        <v>Declaracao da contabilidade do empreiteiro</v>
      </c>
      <c r="I130" s="6" t="s">
        <v>1001</v>
      </c>
      <c r="J130" s="6"/>
    </row>
    <row r="131" customFormat="false" ht="15" hidden="false" customHeight="false" outlineLevel="0" collapsed="false">
      <c r="A131" s="6" t="s">
        <v>1136</v>
      </c>
      <c r="B131" s="6" t="s">
        <v>454</v>
      </c>
      <c r="C131" s="12" t="str">
        <f aca="false">IFERROR(INDEX(Obras!$B:$B,MATCH(B131,Obras!$A:$A,0)),"")</f>
        <v>Hospital SC</v>
      </c>
      <c r="D131" s="6" t="s">
        <v>1000</v>
      </c>
      <c r="E131" s="6" t="s">
        <v>43</v>
      </c>
      <c r="F131" s="12" t="str">
        <f aca="false">IFERROR(INDEX(Empresas!$D:$D,MATCH(E131,Empresas!$A:$A,0)),"")</f>
        <v>60.536.286 SILVIO SCHURT</v>
      </c>
      <c r="G131" s="6" t="s">
        <v>655</v>
      </c>
      <c r="H131" s="12" t="str">
        <f aca="false">IFERROR(INDEX(Doc_Catalogo!$B:$B,MATCH(G131,Doc_Catalogo!$A:$A,0)),"")</f>
        <v>Comprovante de pagamento de salarios</v>
      </c>
      <c r="I131" s="6" t="s">
        <v>1017</v>
      </c>
      <c r="J131" s="6"/>
    </row>
    <row r="132" customFormat="false" ht="15" hidden="false" customHeight="false" outlineLevel="0" collapsed="false">
      <c r="A132" s="6" t="s">
        <v>1137</v>
      </c>
      <c r="B132" s="6" t="s">
        <v>454</v>
      </c>
      <c r="C132" s="12" t="str">
        <f aca="false">IFERROR(INDEX(Obras!$B:$B,MATCH(B132,Obras!$A:$A,0)),"")</f>
        <v>Hospital SC</v>
      </c>
      <c r="D132" s="6" t="s">
        <v>1000</v>
      </c>
      <c r="E132" s="6" t="s">
        <v>77</v>
      </c>
      <c r="F132" s="12" t="str">
        <f aca="false">IFERROR(INDEX(Empresas!$D:$D,MATCH(E132,Empresas!$A:$A,0)),"")</f>
        <v>DHS ELEVADORES LTDA</v>
      </c>
      <c r="G132" s="6" t="s">
        <v>655</v>
      </c>
      <c r="H132" s="12" t="str">
        <f aca="false">IFERROR(INDEX(Doc_Catalogo!$B:$B,MATCH(G132,Doc_Catalogo!$A:$A,0)),"")</f>
        <v>Comprovante de pagamento de salarios</v>
      </c>
      <c r="I132" s="6" t="s">
        <v>1017</v>
      </c>
      <c r="J132" s="6"/>
    </row>
    <row r="133" customFormat="false" ht="15" hidden="false" customHeight="false" outlineLevel="0" collapsed="false">
      <c r="A133" s="6" t="s">
        <v>1138</v>
      </c>
      <c r="B133" s="6" t="s">
        <v>454</v>
      </c>
      <c r="C133" s="12" t="str">
        <f aca="false">IFERROR(INDEX(Obras!$B:$B,MATCH(B133,Obras!$A:$A,0)),"")</f>
        <v>Hospital SC</v>
      </c>
      <c r="D133" s="6" t="s">
        <v>1000</v>
      </c>
      <c r="E133" s="6" t="s">
        <v>52</v>
      </c>
      <c r="F133" s="12" t="str">
        <f aca="false">IFERROR(INDEX(Empresas!$D:$D,MATCH(E133,Empresas!$A:$A,0)),"")</f>
        <v>60.555.952 GABRIEL SCHURT</v>
      </c>
      <c r="G133" s="6" t="s">
        <v>655</v>
      </c>
      <c r="H133" s="12" t="str">
        <f aca="false">IFERROR(INDEX(Doc_Catalogo!$B:$B,MATCH(G133,Doc_Catalogo!$A:$A,0)),"")</f>
        <v>Comprovante de pagamento de salarios</v>
      </c>
      <c r="I133" s="6" t="s">
        <v>1017</v>
      </c>
      <c r="J133" s="6"/>
    </row>
    <row r="134" customFormat="false" ht="15" hidden="false" customHeight="false" outlineLevel="0" collapsed="false">
      <c r="A134" s="6" t="s">
        <v>1139</v>
      </c>
      <c r="B134" s="6" t="s">
        <v>454</v>
      </c>
      <c r="C134" s="12" t="str">
        <f aca="false">IFERROR(INDEX(Obras!$B:$B,MATCH(B134,Obras!$A:$A,0)),"")</f>
        <v>Hospital SC</v>
      </c>
      <c r="D134" s="6" t="s">
        <v>1000</v>
      </c>
      <c r="E134" s="6" t="s">
        <v>43</v>
      </c>
      <c r="F134" s="12" t="str">
        <f aca="false">IFERROR(INDEX(Empresas!$D:$D,MATCH(E134,Empresas!$A:$A,0)),"")</f>
        <v>60.536.286 SILVIO SCHURT</v>
      </c>
      <c r="G134" s="6" t="s">
        <v>657</v>
      </c>
      <c r="H134" s="12" t="str">
        <f aca="false">IFERROR(INDEX(Doc_Catalogo!$B:$B,MATCH(G134,Doc_Catalogo!$A:$A,0)),"")</f>
        <v>Comprovante de pagamento de ferias</v>
      </c>
      <c r="I134" s="6" t="s">
        <v>1017</v>
      </c>
      <c r="J134" s="6"/>
    </row>
    <row r="135" customFormat="false" ht="15" hidden="false" customHeight="false" outlineLevel="0" collapsed="false">
      <c r="A135" s="6" t="s">
        <v>1140</v>
      </c>
      <c r="B135" s="6" t="s">
        <v>454</v>
      </c>
      <c r="C135" s="12" t="str">
        <f aca="false">IFERROR(INDEX(Obras!$B:$B,MATCH(B135,Obras!$A:$A,0)),"")</f>
        <v>Hospital SC</v>
      </c>
      <c r="D135" s="6" t="s">
        <v>1000</v>
      </c>
      <c r="E135" s="6" t="s">
        <v>77</v>
      </c>
      <c r="F135" s="12" t="str">
        <f aca="false">IFERROR(INDEX(Empresas!$D:$D,MATCH(E135,Empresas!$A:$A,0)),"")</f>
        <v>DHS ELEVADORES LTDA</v>
      </c>
      <c r="G135" s="6" t="s">
        <v>657</v>
      </c>
      <c r="H135" s="12" t="str">
        <f aca="false">IFERROR(INDEX(Doc_Catalogo!$B:$B,MATCH(G135,Doc_Catalogo!$A:$A,0)),"")</f>
        <v>Comprovante de pagamento de ferias</v>
      </c>
      <c r="I135" s="6" t="s">
        <v>1017</v>
      </c>
      <c r="J135" s="6"/>
    </row>
    <row r="136" customFormat="false" ht="15" hidden="false" customHeight="false" outlineLevel="0" collapsed="false">
      <c r="A136" s="6" t="s">
        <v>1141</v>
      </c>
      <c r="B136" s="6" t="s">
        <v>454</v>
      </c>
      <c r="C136" s="12" t="str">
        <f aca="false">IFERROR(INDEX(Obras!$B:$B,MATCH(B136,Obras!$A:$A,0)),"")</f>
        <v>Hospital SC</v>
      </c>
      <c r="D136" s="6" t="s">
        <v>1000</v>
      </c>
      <c r="E136" s="6" t="s">
        <v>52</v>
      </c>
      <c r="F136" s="12" t="str">
        <f aca="false">IFERROR(INDEX(Empresas!$D:$D,MATCH(E136,Empresas!$A:$A,0)),"")</f>
        <v>60.555.952 GABRIEL SCHURT</v>
      </c>
      <c r="G136" s="6" t="s">
        <v>657</v>
      </c>
      <c r="H136" s="12" t="str">
        <f aca="false">IFERROR(INDEX(Doc_Catalogo!$B:$B,MATCH(G136,Doc_Catalogo!$A:$A,0)),"")</f>
        <v>Comprovante de pagamento de ferias</v>
      </c>
      <c r="I136" s="6" t="s">
        <v>1017</v>
      </c>
      <c r="J136" s="6"/>
    </row>
    <row r="137" customFormat="false" ht="15" hidden="false" customHeight="false" outlineLevel="0" collapsed="false">
      <c r="A137" s="6" t="s">
        <v>1142</v>
      </c>
      <c r="B137" s="6" t="s">
        <v>454</v>
      </c>
      <c r="C137" s="12" t="str">
        <f aca="false">IFERROR(INDEX(Obras!$B:$B,MATCH(B137,Obras!$A:$A,0)),"")</f>
        <v>Hospital SC</v>
      </c>
      <c r="D137" s="6" t="s">
        <v>1000</v>
      </c>
      <c r="E137" s="6" t="s">
        <v>43</v>
      </c>
      <c r="F137" s="12" t="str">
        <f aca="false">IFERROR(INDEX(Empresas!$D:$D,MATCH(E137,Empresas!$A:$A,0)),"")</f>
        <v>60.536.286 SILVIO SCHURT</v>
      </c>
      <c r="G137" s="6" t="s">
        <v>659</v>
      </c>
      <c r="H137" s="12" t="str">
        <f aca="false">IFERROR(INDEX(Doc_Catalogo!$B:$B,MATCH(G137,Doc_Catalogo!$A:$A,0)),"")</f>
        <v>Comprovante de pagamento de 13o salario</v>
      </c>
      <c r="I137" s="6" t="s">
        <v>1017</v>
      </c>
      <c r="J137" s="6"/>
    </row>
    <row r="138" customFormat="false" ht="15" hidden="false" customHeight="false" outlineLevel="0" collapsed="false">
      <c r="A138" s="6" t="s">
        <v>1143</v>
      </c>
      <c r="B138" s="6" t="s">
        <v>454</v>
      </c>
      <c r="C138" s="12" t="str">
        <f aca="false">IFERROR(INDEX(Obras!$B:$B,MATCH(B138,Obras!$A:$A,0)),"")</f>
        <v>Hospital SC</v>
      </c>
      <c r="D138" s="6" t="s">
        <v>1000</v>
      </c>
      <c r="E138" s="6" t="s">
        <v>77</v>
      </c>
      <c r="F138" s="12" t="str">
        <f aca="false">IFERROR(INDEX(Empresas!$D:$D,MATCH(E138,Empresas!$A:$A,0)),"")</f>
        <v>DHS ELEVADORES LTDA</v>
      </c>
      <c r="G138" s="6" t="s">
        <v>659</v>
      </c>
      <c r="H138" s="12" t="str">
        <f aca="false">IFERROR(INDEX(Doc_Catalogo!$B:$B,MATCH(G138,Doc_Catalogo!$A:$A,0)),"")</f>
        <v>Comprovante de pagamento de 13o salario</v>
      </c>
      <c r="I138" s="6" t="s">
        <v>1017</v>
      </c>
      <c r="J138" s="6"/>
    </row>
    <row r="139" customFormat="false" ht="15" hidden="false" customHeight="false" outlineLevel="0" collapsed="false">
      <c r="A139" s="6" t="s">
        <v>1144</v>
      </c>
      <c r="B139" s="6" t="s">
        <v>454</v>
      </c>
      <c r="C139" s="12" t="str">
        <f aca="false">IFERROR(INDEX(Obras!$B:$B,MATCH(B139,Obras!$A:$A,0)),"")</f>
        <v>Hospital SC</v>
      </c>
      <c r="D139" s="6" t="s">
        <v>1000</v>
      </c>
      <c r="E139" s="6" t="s">
        <v>52</v>
      </c>
      <c r="F139" s="12" t="str">
        <f aca="false">IFERROR(INDEX(Empresas!$D:$D,MATCH(E139,Empresas!$A:$A,0)),"")</f>
        <v>60.555.952 GABRIEL SCHURT</v>
      </c>
      <c r="G139" s="6" t="s">
        <v>659</v>
      </c>
      <c r="H139" s="12" t="str">
        <f aca="false">IFERROR(INDEX(Doc_Catalogo!$B:$B,MATCH(G139,Doc_Catalogo!$A:$A,0)),"")</f>
        <v>Comprovante de pagamento de 13o salario</v>
      </c>
      <c r="I139" s="6" t="s">
        <v>1017</v>
      </c>
      <c r="J139" s="6"/>
    </row>
    <row r="140" customFormat="false" ht="15" hidden="false" customHeight="false" outlineLevel="0" collapsed="false">
      <c r="A140" s="6" t="s">
        <v>1145</v>
      </c>
      <c r="B140" s="6" t="s">
        <v>454</v>
      </c>
      <c r="C140" s="12" t="str">
        <f aca="false">IFERROR(INDEX(Obras!$B:$B,MATCH(B140,Obras!$A:$A,0)),"")</f>
        <v>Hospital SC</v>
      </c>
      <c r="D140" s="6" t="s">
        <v>1000</v>
      </c>
      <c r="E140" s="6" t="s">
        <v>43</v>
      </c>
      <c r="F140" s="12" t="str">
        <f aca="false">IFERROR(INDEX(Empresas!$D:$D,MATCH(E140,Empresas!$A:$A,0)),"")</f>
        <v>60.536.286 SILVIO SCHURT</v>
      </c>
      <c r="G140" s="6" t="s">
        <v>661</v>
      </c>
      <c r="H140" s="12" t="str">
        <f aca="false">IFERROR(INDEX(Doc_Catalogo!$B:$B,MATCH(G140,Doc_Catalogo!$A:$A,0)),"")</f>
        <v>Comprovante de pagamento de FGTS</v>
      </c>
      <c r="I140" s="6" t="s">
        <v>1017</v>
      </c>
      <c r="J140" s="6"/>
    </row>
    <row r="141" customFormat="false" ht="15" hidden="false" customHeight="false" outlineLevel="0" collapsed="false">
      <c r="A141" s="6" t="s">
        <v>1146</v>
      </c>
      <c r="B141" s="6" t="s">
        <v>454</v>
      </c>
      <c r="C141" s="12" t="str">
        <f aca="false">IFERROR(INDEX(Obras!$B:$B,MATCH(B141,Obras!$A:$A,0)),"")</f>
        <v>Hospital SC</v>
      </c>
      <c r="D141" s="6" t="s">
        <v>1000</v>
      </c>
      <c r="E141" s="6" t="s">
        <v>77</v>
      </c>
      <c r="F141" s="12" t="str">
        <f aca="false">IFERROR(INDEX(Empresas!$D:$D,MATCH(E141,Empresas!$A:$A,0)),"")</f>
        <v>DHS ELEVADORES LTDA</v>
      </c>
      <c r="G141" s="6" t="s">
        <v>661</v>
      </c>
      <c r="H141" s="12" t="str">
        <f aca="false">IFERROR(INDEX(Doc_Catalogo!$B:$B,MATCH(G141,Doc_Catalogo!$A:$A,0)),"")</f>
        <v>Comprovante de pagamento de FGTS</v>
      </c>
      <c r="I141" s="6" t="s">
        <v>1017</v>
      </c>
      <c r="J141" s="6"/>
    </row>
    <row r="142" customFormat="false" ht="15" hidden="false" customHeight="false" outlineLevel="0" collapsed="false">
      <c r="A142" s="6" t="s">
        <v>1147</v>
      </c>
      <c r="B142" s="6" t="s">
        <v>454</v>
      </c>
      <c r="C142" s="12" t="str">
        <f aca="false">IFERROR(INDEX(Obras!$B:$B,MATCH(B142,Obras!$A:$A,0)),"")</f>
        <v>Hospital SC</v>
      </c>
      <c r="D142" s="6" t="s">
        <v>1000</v>
      </c>
      <c r="E142" s="6" t="s">
        <v>52</v>
      </c>
      <c r="F142" s="12" t="str">
        <f aca="false">IFERROR(INDEX(Empresas!$D:$D,MATCH(E142,Empresas!$A:$A,0)),"")</f>
        <v>60.555.952 GABRIEL SCHURT</v>
      </c>
      <c r="G142" s="6" t="s">
        <v>661</v>
      </c>
      <c r="H142" s="12" t="str">
        <f aca="false">IFERROR(INDEX(Doc_Catalogo!$B:$B,MATCH(G142,Doc_Catalogo!$A:$A,0)),"")</f>
        <v>Comprovante de pagamento de FGTS</v>
      </c>
      <c r="I142" s="6" t="s">
        <v>1017</v>
      </c>
      <c r="J142" s="6"/>
    </row>
    <row r="143" customFormat="false" ht="15" hidden="false" customHeight="false" outlineLevel="0" collapsed="false">
      <c r="A143" s="6" t="s">
        <v>1148</v>
      </c>
      <c r="B143" s="6" t="s">
        <v>454</v>
      </c>
      <c r="C143" s="12" t="str">
        <f aca="false">IFERROR(INDEX(Obras!$B:$B,MATCH(B143,Obras!$A:$A,0)),"")</f>
        <v>Hospital SC</v>
      </c>
      <c r="D143" s="6" t="s">
        <v>1000</v>
      </c>
      <c r="E143" s="6" t="s">
        <v>43</v>
      </c>
      <c r="F143" s="12" t="str">
        <f aca="false">IFERROR(INDEX(Empresas!$D:$D,MATCH(E143,Empresas!$A:$A,0)),"")</f>
        <v>60.536.286 SILVIO SCHURT</v>
      </c>
      <c r="G143" s="6" t="s">
        <v>663</v>
      </c>
      <c r="H143" s="12" t="str">
        <f aca="false">IFERROR(INDEX(Doc_Catalogo!$B:$B,MATCH(G143,Doc_Catalogo!$A:$A,0)),"")</f>
        <v>Comprovante de recolhimento de INSS</v>
      </c>
      <c r="I143" s="6" t="s">
        <v>1001</v>
      </c>
      <c r="J143" s="6"/>
    </row>
    <row r="144" customFormat="false" ht="15" hidden="false" customHeight="false" outlineLevel="0" collapsed="false">
      <c r="A144" s="6" t="s">
        <v>1149</v>
      </c>
      <c r="B144" s="6" t="s">
        <v>454</v>
      </c>
      <c r="C144" s="12" t="str">
        <f aca="false">IFERROR(INDEX(Obras!$B:$B,MATCH(B144,Obras!$A:$A,0)),"")</f>
        <v>Hospital SC</v>
      </c>
      <c r="D144" s="6" t="s">
        <v>1000</v>
      </c>
      <c r="E144" s="6" t="s">
        <v>77</v>
      </c>
      <c r="F144" s="12" t="str">
        <f aca="false">IFERROR(INDEX(Empresas!$D:$D,MATCH(E144,Empresas!$A:$A,0)),"")</f>
        <v>DHS ELEVADORES LTDA</v>
      </c>
      <c r="G144" s="6" t="s">
        <v>663</v>
      </c>
      <c r="H144" s="12" t="str">
        <f aca="false">IFERROR(INDEX(Doc_Catalogo!$B:$B,MATCH(G144,Doc_Catalogo!$A:$A,0)),"")</f>
        <v>Comprovante de recolhimento de INSS</v>
      </c>
      <c r="I144" s="6" t="s">
        <v>1001</v>
      </c>
      <c r="J144" s="6"/>
    </row>
    <row r="145" customFormat="false" ht="15" hidden="false" customHeight="false" outlineLevel="0" collapsed="false">
      <c r="A145" s="6" t="s">
        <v>1150</v>
      </c>
      <c r="B145" s="6" t="s">
        <v>454</v>
      </c>
      <c r="C145" s="12" t="str">
        <f aca="false">IFERROR(INDEX(Obras!$B:$B,MATCH(B145,Obras!$A:$A,0)),"")</f>
        <v>Hospital SC</v>
      </c>
      <c r="D145" s="6" t="s">
        <v>1000</v>
      </c>
      <c r="E145" s="6" t="s">
        <v>52</v>
      </c>
      <c r="F145" s="12" t="str">
        <f aca="false">IFERROR(INDEX(Empresas!$D:$D,MATCH(E145,Empresas!$A:$A,0)),"")</f>
        <v>60.555.952 GABRIEL SCHURT</v>
      </c>
      <c r="G145" s="6" t="s">
        <v>663</v>
      </c>
      <c r="H145" s="12" t="str">
        <f aca="false">IFERROR(INDEX(Doc_Catalogo!$B:$B,MATCH(G145,Doc_Catalogo!$A:$A,0)),"")</f>
        <v>Comprovante de recolhimento de INSS</v>
      </c>
      <c r="I145" s="6" t="s">
        <v>1001</v>
      </c>
      <c r="J145" s="6"/>
    </row>
    <row r="146" customFormat="false" ht="15" hidden="false" customHeight="false" outlineLevel="0" collapsed="false">
      <c r="A146" s="6" t="s">
        <v>1151</v>
      </c>
      <c r="B146" s="6" t="s">
        <v>454</v>
      </c>
      <c r="C146" s="12" t="str">
        <f aca="false">IFERROR(INDEX(Obras!$B:$B,MATCH(B146,Obras!$A:$A,0)),"")</f>
        <v>Hospital SC</v>
      </c>
      <c r="D146" s="6" t="s">
        <v>1000</v>
      </c>
      <c r="E146" s="6" t="s">
        <v>43</v>
      </c>
      <c r="F146" s="12" t="str">
        <f aca="false">IFERROR(INDEX(Empresas!$D:$D,MATCH(E146,Empresas!$A:$A,0)),"")</f>
        <v>60.536.286 SILVIO SCHURT</v>
      </c>
      <c r="G146" s="6" t="s">
        <v>665</v>
      </c>
      <c r="H146" s="12" t="str">
        <f aca="false">IFERROR(INDEX(Doc_Catalogo!$B:$B,MATCH(G146,Doc_Catalogo!$A:$A,0)),"")</f>
        <v>CND Federal (Receita Federal)</v>
      </c>
      <c r="I146" s="6" t="s">
        <v>1001</v>
      </c>
      <c r="J146" s="6"/>
    </row>
    <row r="147" customFormat="false" ht="15" hidden="false" customHeight="false" outlineLevel="0" collapsed="false">
      <c r="A147" s="6" t="s">
        <v>1152</v>
      </c>
      <c r="B147" s="6" t="s">
        <v>454</v>
      </c>
      <c r="C147" s="12" t="str">
        <f aca="false">IFERROR(INDEX(Obras!$B:$B,MATCH(B147,Obras!$A:$A,0)),"")</f>
        <v>Hospital SC</v>
      </c>
      <c r="D147" s="6" t="s">
        <v>1000</v>
      </c>
      <c r="E147" s="6" t="s">
        <v>77</v>
      </c>
      <c r="F147" s="12" t="str">
        <f aca="false">IFERROR(INDEX(Empresas!$D:$D,MATCH(E147,Empresas!$A:$A,0)),"")</f>
        <v>DHS ELEVADORES LTDA</v>
      </c>
      <c r="G147" s="6" t="s">
        <v>665</v>
      </c>
      <c r="H147" s="12" t="str">
        <f aca="false">IFERROR(INDEX(Doc_Catalogo!$B:$B,MATCH(G147,Doc_Catalogo!$A:$A,0)),"")</f>
        <v>CND Federal (Receita Federal)</v>
      </c>
      <c r="I147" s="6" t="s">
        <v>1001</v>
      </c>
      <c r="J147" s="6"/>
    </row>
    <row r="148" customFormat="false" ht="15" hidden="false" customHeight="false" outlineLevel="0" collapsed="false">
      <c r="A148" s="6" t="s">
        <v>1153</v>
      </c>
      <c r="B148" s="6" t="s">
        <v>454</v>
      </c>
      <c r="C148" s="12" t="str">
        <f aca="false">IFERROR(INDEX(Obras!$B:$B,MATCH(B148,Obras!$A:$A,0)),"")</f>
        <v>Hospital SC</v>
      </c>
      <c r="D148" s="6" t="s">
        <v>1000</v>
      </c>
      <c r="E148" s="6" t="s">
        <v>52</v>
      </c>
      <c r="F148" s="12" t="str">
        <f aca="false">IFERROR(INDEX(Empresas!$D:$D,MATCH(E148,Empresas!$A:$A,0)),"")</f>
        <v>60.555.952 GABRIEL SCHURT</v>
      </c>
      <c r="G148" s="6" t="s">
        <v>665</v>
      </c>
      <c r="H148" s="12" t="str">
        <f aca="false">IFERROR(INDEX(Doc_Catalogo!$B:$B,MATCH(G148,Doc_Catalogo!$A:$A,0)),"")</f>
        <v>CND Federal (Receita Federal)</v>
      </c>
      <c r="I148" s="6" t="s">
        <v>1001</v>
      </c>
      <c r="J148" s="6"/>
    </row>
    <row r="149" customFormat="false" ht="15" hidden="false" customHeight="false" outlineLevel="0" collapsed="false">
      <c r="A149" s="6" t="s">
        <v>1154</v>
      </c>
      <c r="B149" s="6" t="s">
        <v>454</v>
      </c>
      <c r="C149" s="12" t="str">
        <f aca="false">IFERROR(INDEX(Obras!$B:$B,MATCH(B149,Obras!$A:$A,0)),"")</f>
        <v>Hospital SC</v>
      </c>
      <c r="D149" s="6" t="s">
        <v>1000</v>
      </c>
      <c r="E149" s="6" t="s">
        <v>43</v>
      </c>
      <c r="F149" s="12" t="str">
        <f aca="false">IFERROR(INDEX(Empresas!$D:$D,MATCH(E149,Empresas!$A:$A,0)),"")</f>
        <v>60.536.286 SILVIO SCHURT</v>
      </c>
      <c r="G149" s="6" t="s">
        <v>667</v>
      </c>
      <c r="H149" s="12" t="str">
        <f aca="false">IFERROR(INDEX(Doc_Catalogo!$B:$B,MATCH(G149,Doc_Catalogo!$A:$A,0)),"")</f>
        <v>CND Estadual</v>
      </c>
      <c r="I149" s="6" t="s">
        <v>1001</v>
      </c>
      <c r="J149" s="6"/>
    </row>
    <row r="150" customFormat="false" ht="15" hidden="false" customHeight="false" outlineLevel="0" collapsed="false">
      <c r="A150" s="6" t="s">
        <v>1155</v>
      </c>
      <c r="B150" s="6" t="s">
        <v>454</v>
      </c>
      <c r="C150" s="12" t="str">
        <f aca="false">IFERROR(INDEX(Obras!$B:$B,MATCH(B150,Obras!$A:$A,0)),"")</f>
        <v>Hospital SC</v>
      </c>
      <c r="D150" s="6" t="s">
        <v>1000</v>
      </c>
      <c r="E150" s="6" t="s">
        <v>77</v>
      </c>
      <c r="F150" s="12" t="str">
        <f aca="false">IFERROR(INDEX(Empresas!$D:$D,MATCH(E150,Empresas!$A:$A,0)),"")</f>
        <v>DHS ELEVADORES LTDA</v>
      </c>
      <c r="G150" s="6" t="s">
        <v>667</v>
      </c>
      <c r="H150" s="12" t="str">
        <f aca="false">IFERROR(INDEX(Doc_Catalogo!$B:$B,MATCH(G150,Doc_Catalogo!$A:$A,0)),"")</f>
        <v>CND Estadual</v>
      </c>
      <c r="I150" s="6" t="s">
        <v>1001</v>
      </c>
      <c r="J150" s="6"/>
    </row>
    <row r="151" customFormat="false" ht="15" hidden="false" customHeight="false" outlineLevel="0" collapsed="false">
      <c r="A151" s="6" t="s">
        <v>1156</v>
      </c>
      <c r="B151" s="6" t="s">
        <v>454</v>
      </c>
      <c r="C151" s="12" t="str">
        <f aca="false">IFERROR(INDEX(Obras!$B:$B,MATCH(B151,Obras!$A:$A,0)),"")</f>
        <v>Hospital SC</v>
      </c>
      <c r="D151" s="6" t="s">
        <v>1000</v>
      </c>
      <c r="E151" s="6" t="s">
        <v>52</v>
      </c>
      <c r="F151" s="12" t="str">
        <f aca="false">IFERROR(INDEX(Empresas!$D:$D,MATCH(E151,Empresas!$A:$A,0)),"")</f>
        <v>60.555.952 GABRIEL SCHURT</v>
      </c>
      <c r="G151" s="6" t="s">
        <v>667</v>
      </c>
      <c r="H151" s="12" t="str">
        <f aca="false">IFERROR(INDEX(Doc_Catalogo!$B:$B,MATCH(G151,Doc_Catalogo!$A:$A,0)),"")</f>
        <v>CND Estadual</v>
      </c>
      <c r="I151" s="6" t="s">
        <v>1001</v>
      </c>
      <c r="J151" s="6"/>
    </row>
    <row r="152" customFormat="false" ht="15" hidden="false" customHeight="false" outlineLevel="0" collapsed="false">
      <c r="A152" s="6" t="s">
        <v>1157</v>
      </c>
      <c r="B152" s="6" t="s">
        <v>454</v>
      </c>
      <c r="C152" s="12" t="str">
        <f aca="false">IFERROR(INDEX(Obras!$B:$B,MATCH(B152,Obras!$A:$A,0)),"")</f>
        <v>Hospital SC</v>
      </c>
      <c r="D152" s="6" t="s">
        <v>1000</v>
      </c>
      <c r="E152" s="6" t="s">
        <v>43</v>
      </c>
      <c r="F152" s="12" t="str">
        <f aca="false">IFERROR(INDEX(Empresas!$D:$D,MATCH(E152,Empresas!$A:$A,0)),"")</f>
        <v>60.536.286 SILVIO SCHURT</v>
      </c>
      <c r="G152" s="6" t="s">
        <v>669</v>
      </c>
      <c r="H152" s="12" t="str">
        <f aca="false">IFERROR(INDEX(Doc_Catalogo!$B:$B,MATCH(G152,Doc_Catalogo!$A:$A,0)),"")</f>
        <v>CND Municipal</v>
      </c>
      <c r="I152" s="6" t="s">
        <v>1001</v>
      </c>
      <c r="J152" s="6"/>
    </row>
    <row r="153" customFormat="false" ht="15" hidden="false" customHeight="false" outlineLevel="0" collapsed="false">
      <c r="A153" s="6" t="s">
        <v>1158</v>
      </c>
      <c r="B153" s="6" t="s">
        <v>454</v>
      </c>
      <c r="C153" s="12" t="str">
        <f aca="false">IFERROR(INDEX(Obras!$B:$B,MATCH(B153,Obras!$A:$A,0)),"")</f>
        <v>Hospital SC</v>
      </c>
      <c r="D153" s="6" t="s">
        <v>1000</v>
      </c>
      <c r="E153" s="6" t="s">
        <v>77</v>
      </c>
      <c r="F153" s="12" t="str">
        <f aca="false">IFERROR(INDEX(Empresas!$D:$D,MATCH(E153,Empresas!$A:$A,0)),"")</f>
        <v>DHS ELEVADORES LTDA</v>
      </c>
      <c r="G153" s="6" t="s">
        <v>669</v>
      </c>
      <c r="H153" s="12" t="str">
        <f aca="false">IFERROR(INDEX(Doc_Catalogo!$B:$B,MATCH(G153,Doc_Catalogo!$A:$A,0)),"")</f>
        <v>CND Municipal</v>
      </c>
      <c r="I153" s="6" t="s">
        <v>1001</v>
      </c>
      <c r="J153" s="6"/>
    </row>
    <row r="154" customFormat="false" ht="15" hidden="false" customHeight="false" outlineLevel="0" collapsed="false">
      <c r="A154" s="6" t="s">
        <v>1159</v>
      </c>
      <c r="B154" s="6" t="s">
        <v>454</v>
      </c>
      <c r="C154" s="12" t="str">
        <f aca="false">IFERROR(INDEX(Obras!$B:$B,MATCH(B154,Obras!$A:$A,0)),"")</f>
        <v>Hospital SC</v>
      </c>
      <c r="D154" s="6" t="s">
        <v>1000</v>
      </c>
      <c r="E154" s="6" t="s">
        <v>52</v>
      </c>
      <c r="F154" s="12" t="str">
        <f aca="false">IFERROR(INDEX(Empresas!$D:$D,MATCH(E154,Empresas!$A:$A,0)),"")</f>
        <v>60.555.952 GABRIEL SCHURT</v>
      </c>
      <c r="G154" s="6" t="s">
        <v>669</v>
      </c>
      <c r="H154" s="12" t="str">
        <f aca="false">IFERROR(INDEX(Doc_Catalogo!$B:$B,MATCH(G154,Doc_Catalogo!$A:$A,0)),"")</f>
        <v>CND Municipal</v>
      </c>
      <c r="I154" s="6" t="s">
        <v>1001</v>
      </c>
      <c r="J154" s="6"/>
    </row>
    <row r="155" customFormat="false" ht="15" hidden="false" customHeight="false" outlineLevel="0" collapsed="false">
      <c r="A155" s="6" t="s">
        <v>1160</v>
      </c>
      <c r="B155" s="6" t="s">
        <v>454</v>
      </c>
      <c r="C155" s="12" t="str">
        <f aca="false">IFERROR(INDEX(Obras!$B:$B,MATCH(B155,Obras!$A:$A,0)),"")</f>
        <v>Hospital SC</v>
      </c>
      <c r="D155" s="6" t="s">
        <v>1000</v>
      </c>
      <c r="E155" s="6" t="s">
        <v>43</v>
      </c>
      <c r="F155" s="12" t="str">
        <f aca="false">IFERROR(INDEX(Empresas!$D:$D,MATCH(E155,Empresas!$A:$A,0)),"")</f>
        <v>60.536.286 SILVIO SCHURT</v>
      </c>
      <c r="G155" s="6" t="s">
        <v>671</v>
      </c>
      <c r="H155" s="12" t="str">
        <f aca="false">IFERROR(INDEX(Doc_Catalogo!$B:$B,MATCH(G155,Doc_Catalogo!$A:$A,0)),"")</f>
        <v>CRF — Certificado de Regularidade do FGTS</v>
      </c>
      <c r="I155" s="6" t="s">
        <v>1001</v>
      </c>
      <c r="J155" s="6"/>
    </row>
    <row r="156" customFormat="false" ht="15" hidden="false" customHeight="false" outlineLevel="0" collapsed="false">
      <c r="A156" s="6" t="s">
        <v>1161</v>
      </c>
      <c r="B156" s="6" t="s">
        <v>454</v>
      </c>
      <c r="C156" s="12" t="str">
        <f aca="false">IFERROR(INDEX(Obras!$B:$B,MATCH(B156,Obras!$A:$A,0)),"")</f>
        <v>Hospital SC</v>
      </c>
      <c r="D156" s="6" t="s">
        <v>1000</v>
      </c>
      <c r="E156" s="6" t="s">
        <v>77</v>
      </c>
      <c r="F156" s="12" t="str">
        <f aca="false">IFERROR(INDEX(Empresas!$D:$D,MATCH(E156,Empresas!$A:$A,0)),"")</f>
        <v>DHS ELEVADORES LTDA</v>
      </c>
      <c r="G156" s="6" t="s">
        <v>671</v>
      </c>
      <c r="H156" s="12" t="str">
        <f aca="false">IFERROR(INDEX(Doc_Catalogo!$B:$B,MATCH(G156,Doc_Catalogo!$A:$A,0)),"")</f>
        <v>CRF — Certificado de Regularidade do FGTS</v>
      </c>
      <c r="I156" s="6" t="s">
        <v>1001</v>
      </c>
      <c r="J156" s="6"/>
    </row>
    <row r="157" customFormat="false" ht="15" hidden="false" customHeight="false" outlineLevel="0" collapsed="false">
      <c r="A157" s="6" t="s">
        <v>1162</v>
      </c>
      <c r="B157" s="6" t="s">
        <v>454</v>
      </c>
      <c r="C157" s="12" t="str">
        <f aca="false">IFERROR(INDEX(Obras!$B:$B,MATCH(B157,Obras!$A:$A,0)),"")</f>
        <v>Hospital SC</v>
      </c>
      <c r="D157" s="6" t="s">
        <v>1000</v>
      </c>
      <c r="E157" s="6" t="s">
        <v>52</v>
      </c>
      <c r="F157" s="12" t="str">
        <f aca="false">IFERROR(INDEX(Empresas!$D:$D,MATCH(E157,Empresas!$A:$A,0)),"")</f>
        <v>60.555.952 GABRIEL SCHURT</v>
      </c>
      <c r="G157" s="6" t="s">
        <v>671</v>
      </c>
      <c r="H157" s="12" t="str">
        <f aca="false">IFERROR(INDEX(Doc_Catalogo!$B:$B,MATCH(G157,Doc_Catalogo!$A:$A,0)),"")</f>
        <v>CRF — Certificado de Regularidade do FGTS</v>
      </c>
      <c r="I157" s="6" t="s">
        <v>1001</v>
      </c>
      <c r="J157" s="6"/>
    </row>
    <row r="158" customFormat="false" ht="15" hidden="false" customHeight="false" outlineLevel="0" collapsed="false">
      <c r="A158" s="6" t="s">
        <v>1163</v>
      </c>
      <c r="B158" s="6" t="s">
        <v>454</v>
      </c>
      <c r="C158" s="12" t="str">
        <f aca="false">IFERROR(INDEX(Obras!$B:$B,MATCH(B158,Obras!$A:$A,0)),"")</f>
        <v>Hospital SC</v>
      </c>
      <c r="D158" s="6" t="s">
        <v>1000</v>
      </c>
      <c r="E158" s="6" t="s">
        <v>43</v>
      </c>
      <c r="F158" s="12" t="str">
        <f aca="false">IFERROR(INDEX(Empresas!$D:$D,MATCH(E158,Empresas!$A:$A,0)),"")</f>
        <v>60.536.286 SILVIO SCHURT</v>
      </c>
      <c r="G158" s="6" t="s">
        <v>673</v>
      </c>
      <c r="H158" s="12" t="str">
        <f aca="false">IFERROR(INDEX(Doc_Catalogo!$B:$B,MATCH(G158,Doc_Catalogo!$A:$A,0)),"")</f>
        <v>CNDT — Certidao Negativa de Debitos Trabalhistas</v>
      </c>
      <c r="I158" s="6" t="s">
        <v>1001</v>
      </c>
      <c r="J158" s="6"/>
    </row>
    <row r="159" customFormat="false" ht="15" hidden="false" customHeight="false" outlineLevel="0" collapsed="false">
      <c r="A159" s="6" t="s">
        <v>1164</v>
      </c>
      <c r="B159" s="6" t="s">
        <v>454</v>
      </c>
      <c r="C159" s="12" t="str">
        <f aca="false">IFERROR(INDEX(Obras!$B:$B,MATCH(B159,Obras!$A:$A,0)),"")</f>
        <v>Hospital SC</v>
      </c>
      <c r="D159" s="6" t="s">
        <v>1000</v>
      </c>
      <c r="E159" s="6" t="s">
        <v>77</v>
      </c>
      <c r="F159" s="12" t="str">
        <f aca="false">IFERROR(INDEX(Empresas!$D:$D,MATCH(E159,Empresas!$A:$A,0)),"")</f>
        <v>DHS ELEVADORES LTDA</v>
      </c>
      <c r="G159" s="6" t="s">
        <v>673</v>
      </c>
      <c r="H159" s="12" t="str">
        <f aca="false">IFERROR(INDEX(Doc_Catalogo!$B:$B,MATCH(G159,Doc_Catalogo!$A:$A,0)),"")</f>
        <v>CNDT — Certidao Negativa de Debitos Trabalhistas</v>
      </c>
      <c r="I159" s="6" t="s">
        <v>1001</v>
      </c>
      <c r="J159" s="6"/>
    </row>
    <row r="160" customFormat="false" ht="15" hidden="false" customHeight="false" outlineLevel="0" collapsed="false">
      <c r="A160" s="6" t="s">
        <v>1165</v>
      </c>
      <c r="B160" s="6" t="s">
        <v>454</v>
      </c>
      <c r="C160" s="12" t="str">
        <f aca="false">IFERROR(INDEX(Obras!$B:$B,MATCH(B160,Obras!$A:$A,0)),"")</f>
        <v>Hospital SC</v>
      </c>
      <c r="D160" s="6" t="s">
        <v>1000</v>
      </c>
      <c r="E160" s="6" t="s">
        <v>52</v>
      </c>
      <c r="F160" s="12" t="str">
        <f aca="false">IFERROR(INDEX(Empresas!$D:$D,MATCH(E160,Empresas!$A:$A,0)),"")</f>
        <v>60.555.952 GABRIEL SCHURT</v>
      </c>
      <c r="G160" s="6" t="s">
        <v>673</v>
      </c>
      <c r="H160" s="12" t="str">
        <f aca="false">IFERROR(INDEX(Doc_Catalogo!$B:$B,MATCH(G160,Doc_Catalogo!$A:$A,0)),"")</f>
        <v>CNDT — Certidao Negativa de Debitos Trabalhistas</v>
      </c>
      <c r="I160" s="6" t="s">
        <v>1001</v>
      </c>
      <c r="J160" s="6"/>
    </row>
    <row r="161" customFormat="false" ht="15" hidden="false" customHeight="false" outlineLevel="0" collapsed="false">
      <c r="A161" s="7" t="s">
        <v>1166</v>
      </c>
      <c r="B161" s="7" t="s">
        <v>454</v>
      </c>
      <c r="C161" s="16" t="str">
        <f aca="false">IFERROR(INDEX(Obras!$B:$B,MATCH(B161,Obras!$A:$A,0)),"")</f>
        <v>Hospital SC</v>
      </c>
      <c r="D161" s="7" t="s">
        <v>1009</v>
      </c>
      <c r="E161" s="7" t="s">
        <v>221</v>
      </c>
      <c r="F161" s="16" t="str">
        <f aca="false">IFERROR(INDEX(Colaboradores!$E:$E,MATCH(E161,Colaboradores!$A:$A,0)),"")</f>
        <v>SILVIO SCHURT</v>
      </c>
      <c r="G161" s="7" t="s">
        <v>595</v>
      </c>
      <c r="H161" s="16" t="str">
        <f aca="false">IFERROR(INDEX(Doc_Catalogo!$B:$B,MATCH(G161,Doc_Catalogo!$A:$A,0)),"")</f>
        <v>Documento com foto (RG ou CNH apresentado)</v>
      </c>
      <c r="I161" s="7" t="s">
        <v>1017</v>
      </c>
      <c r="J161" s="7" t="s">
        <v>1018</v>
      </c>
    </row>
    <row r="162" customFormat="false" ht="15" hidden="false" customHeight="false" outlineLevel="0" collapsed="false">
      <c r="A162" s="7" t="s">
        <v>1167</v>
      </c>
      <c r="B162" s="7" t="s">
        <v>454</v>
      </c>
      <c r="C162" s="16" t="str">
        <f aca="false">IFERROR(INDEX(Obras!$B:$B,MATCH(B162,Obras!$A:$A,0)),"")</f>
        <v>Hospital SC</v>
      </c>
      <c r="D162" s="7" t="s">
        <v>1009</v>
      </c>
      <c r="E162" s="7" t="s">
        <v>241</v>
      </c>
      <c r="F162" s="16" t="str">
        <f aca="false">IFERROR(INDEX(Colaboradores!$E:$E,MATCH(E162,Colaboradores!$A:$A,0)),"")</f>
        <v>DANIEL SCHURT</v>
      </c>
      <c r="G162" s="7" t="s">
        <v>595</v>
      </c>
      <c r="H162" s="16" t="str">
        <f aca="false">IFERROR(INDEX(Doc_Catalogo!$B:$B,MATCH(G162,Doc_Catalogo!$A:$A,0)),"")</f>
        <v>Documento com foto (RG ou CNH apresentado)</v>
      </c>
      <c r="I162" s="7" t="s">
        <v>1017</v>
      </c>
      <c r="J162" s="7" t="s">
        <v>1018</v>
      </c>
    </row>
    <row r="163" customFormat="false" ht="15" hidden="false" customHeight="false" outlineLevel="0" collapsed="false">
      <c r="A163" s="7" t="s">
        <v>1168</v>
      </c>
      <c r="B163" s="7" t="s">
        <v>454</v>
      </c>
      <c r="C163" s="16" t="str">
        <f aca="false">IFERROR(INDEX(Obras!$B:$B,MATCH(B163,Obras!$A:$A,0)),"")</f>
        <v>Hospital SC</v>
      </c>
      <c r="D163" s="7" t="s">
        <v>1009</v>
      </c>
      <c r="E163" s="7" t="s">
        <v>330</v>
      </c>
      <c r="F163" s="16" t="str">
        <f aca="false">IFERROR(INDEX(Colaboradores!$E:$E,MATCH(E163,Colaboradores!$A:$A,0)),"")</f>
        <v>GABRIEL SCHURT (proprietario)</v>
      </c>
      <c r="G163" s="7" t="s">
        <v>595</v>
      </c>
      <c r="H163" s="16" t="str">
        <f aca="false">IFERROR(INDEX(Doc_Catalogo!$B:$B,MATCH(G163,Doc_Catalogo!$A:$A,0)),"")</f>
        <v>Documento com foto (RG ou CNH apresentado)</v>
      </c>
      <c r="I163" s="7" t="s">
        <v>1017</v>
      </c>
      <c r="J163" s="7" t="s">
        <v>1018</v>
      </c>
    </row>
    <row r="164" customFormat="false" ht="15" hidden="false" customHeight="false" outlineLevel="0" collapsed="false">
      <c r="A164" s="7" t="s">
        <v>1169</v>
      </c>
      <c r="B164" s="7" t="s">
        <v>454</v>
      </c>
      <c r="C164" s="16" t="str">
        <f aca="false">IFERROR(INDEX(Obras!$B:$B,MATCH(B164,Obras!$A:$A,0)),"")</f>
        <v>Hospital SC</v>
      </c>
      <c r="D164" s="7" t="s">
        <v>1009</v>
      </c>
      <c r="E164" s="7" t="s">
        <v>269</v>
      </c>
      <c r="F164" s="16" t="str">
        <f aca="false">IFERROR(INDEX(Colaboradores!$E:$E,MATCH(E164,Colaboradores!$A:$A,0)),"")</f>
        <v>FABIO LEANDRO DE FREITAS ASSIS</v>
      </c>
      <c r="G164" s="7" t="s">
        <v>595</v>
      </c>
      <c r="H164" s="16" t="str">
        <f aca="false">IFERROR(INDEX(Doc_Catalogo!$B:$B,MATCH(G164,Doc_Catalogo!$A:$A,0)),"")</f>
        <v>Documento com foto (RG ou CNH apresentado)</v>
      </c>
      <c r="I164" s="7" t="s">
        <v>1017</v>
      </c>
      <c r="J164" s="7" t="s">
        <v>1018</v>
      </c>
    </row>
    <row r="165" customFormat="false" ht="15" hidden="false" customHeight="false" outlineLevel="0" collapsed="false">
      <c r="A165" s="6" t="s">
        <v>1170</v>
      </c>
      <c r="B165" s="6" t="s">
        <v>454</v>
      </c>
      <c r="C165" s="12" t="str">
        <f aca="false">IFERROR(INDEX(Obras!$B:$B,MATCH(B165,Obras!$A:$A,0)),"")</f>
        <v>Hospital SC</v>
      </c>
      <c r="D165" s="6" t="s">
        <v>1009</v>
      </c>
      <c r="E165" s="6" t="s">
        <v>221</v>
      </c>
      <c r="F165" s="12" t="str">
        <f aca="false">IFERROR(INDEX(Colaboradores!$E:$E,MATCH(E165,Colaboradores!$A:$A,0)),"")</f>
        <v>SILVIO SCHURT</v>
      </c>
      <c r="G165" s="6" t="s">
        <v>599</v>
      </c>
      <c r="H165" s="12" t="str">
        <f aca="false">IFERROR(INDEX(Doc_Catalogo!$B:$B,MATCH(G165,Doc_Catalogo!$A:$A,0)),"")</f>
        <v>Comprovante de Residencia</v>
      </c>
      <c r="I165" s="6" t="s">
        <v>1001</v>
      </c>
      <c r="J165" s="6"/>
    </row>
    <row r="166" customFormat="false" ht="15" hidden="false" customHeight="false" outlineLevel="0" collapsed="false">
      <c r="A166" s="6" t="s">
        <v>1171</v>
      </c>
      <c r="B166" s="6" t="s">
        <v>454</v>
      </c>
      <c r="C166" s="12" t="str">
        <f aca="false">IFERROR(INDEX(Obras!$B:$B,MATCH(B166,Obras!$A:$A,0)),"")</f>
        <v>Hospital SC</v>
      </c>
      <c r="D166" s="6" t="s">
        <v>1009</v>
      </c>
      <c r="E166" s="6" t="s">
        <v>241</v>
      </c>
      <c r="F166" s="12" t="str">
        <f aca="false">IFERROR(INDEX(Colaboradores!$E:$E,MATCH(E166,Colaboradores!$A:$A,0)),"")</f>
        <v>DANIEL SCHURT</v>
      </c>
      <c r="G166" s="6" t="s">
        <v>599</v>
      </c>
      <c r="H166" s="12" t="str">
        <f aca="false">IFERROR(INDEX(Doc_Catalogo!$B:$B,MATCH(G166,Doc_Catalogo!$A:$A,0)),"")</f>
        <v>Comprovante de Residencia</v>
      </c>
      <c r="I166" s="6" t="s">
        <v>1001</v>
      </c>
      <c r="J166" s="6"/>
    </row>
    <row r="167" customFormat="false" ht="15" hidden="false" customHeight="false" outlineLevel="0" collapsed="false">
      <c r="A167" s="6" t="s">
        <v>1172</v>
      </c>
      <c r="B167" s="6" t="s">
        <v>454</v>
      </c>
      <c r="C167" s="12" t="str">
        <f aca="false">IFERROR(INDEX(Obras!$B:$B,MATCH(B167,Obras!$A:$A,0)),"")</f>
        <v>Hospital SC</v>
      </c>
      <c r="D167" s="6" t="s">
        <v>1009</v>
      </c>
      <c r="E167" s="6" t="s">
        <v>330</v>
      </c>
      <c r="F167" s="12" t="str">
        <f aca="false">IFERROR(INDEX(Colaboradores!$E:$E,MATCH(E167,Colaboradores!$A:$A,0)),"")</f>
        <v>GABRIEL SCHURT (proprietario)</v>
      </c>
      <c r="G167" s="6" t="s">
        <v>599</v>
      </c>
      <c r="H167" s="12" t="str">
        <f aca="false">IFERROR(INDEX(Doc_Catalogo!$B:$B,MATCH(G167,Doc_Catalogo!$A:$A,0)),"")</f>
        <v>Comprovante de Residencia</v>
      </c>
      <c r="I167" s="6" t="s">
        <v>1001</v>
      </c>
      <c r="J167" s="6"/>
    </row>
    <row r="168" customFormat="false" ht="15" hidden="false" customHeight="false" outlineLevel="0" collapsed="false">
      <c r="A168" s="6" t="s">
        <v>1173</v>
      </c>
      <c r="B168" s="6" t="s">
        <v>454</v>
      </c>
      <c r="C168" s="12" t="str">
        <f aca="false">IFERROR(INDEX(Obras!$B:$B,MATCH(B168,Obras!$A:$A,0)),"")</f>
        <v>Hospital SC</v>
      </c>
      <c r="D168" s="6" t="s">
        <v>1009</v>
      </c>
      <c r="E168" s="6" t="s">
        <v>221</v>
      </c>
      <c r="F168" s="12" t="str">
        <f aca="false">IFERROR(INDEX(Colaboradores!$E:$E,MATCH(E168,Colaboradores!$A:$A,0)),"")</f>
        <v>SILVIO SCHURT</v>
      </c>
      <c r="G168" s="6" t="s">
        <v>571</v>
      </c>
      <c r="H168" s="12" t="str">
        <f aca="false">IFERROR(INDEX(Doc_Catalogo!$B:$B,MATCH(G168,Doc_Catalogo!$A:$A,0)),"")</f>
        <v>Ficha de Registro</v>
      </c>
      <c r="I168" s="6" t="s">
        <v>1017</v>
      </c>
      <c r="J168" s="6"/>
    </row>
    <row r="169" customFormat="false" ht="15" hidden="false" customHeight="false" outlineLevel="0" collapsed="false">
      <c r="A169" s="6" t="s">
        <v>1174</v>
      </c>
      <c r="B169" s="6" t="s">
        <v>454</v>
      </c>
      <c r="C169" s="12" t="str">
        <f aca="false">IFERROR(INDEX(Obras!$B:$B,MATCH(B169,Obras!$A:$A,0)),"")</f>
        <v>Hospital SC</v>
      </c>
      <c r="D169" s="6" t="s">
        <v>1009</v>
      </c>
      <c r="E169" s="6" t="s">
        <v>241</v>
      </c>
      <c r="F169" s="12" t="str">
        <f aca="false">IFERROR(INDEX(Colaboradores!$E:$E,MATCH(E169,Colaboradores!$A:$A,0)),"")</f>
        <v>DANIEL SCHURT</v>
      </c>
      <c r="G169" s="6" t="s">
        <v>571</v>
      </c>
      <c r="H169" s="12" t="str">
        <f aca="false">IFERROR(INDEX(Doc_Catalogo!$B:$B,MATCH(G169,Doc_Catalogo!$A:$A,0)),"")</f>
        <v>Ficha de Registro</v>
      </c>
      <c r="I169" s="6" t="s">
        <v>1017</v>
      </c>
      <c r="J169" s="6"/>
    </row>
    <row r="170" customFormat="false" ht="15" hidden="false" customHeight="false" outlineLevel="0" collapsed="false">
      <c r="A170" s="6" t="s">
        <v>1175</v>
      </c>
      <c r="B170" s="6" t="s">
        <v>454</v>
      </c>
      <c r="C170" s="12" t="str">
        <f aca="false">IFERROR(INDEX(Obras!$B:$B,MATCH(B170,Obras!$A:$A,0)),"")</f>
        <v>Hospital SC</v>
      </c>
      <c r="D170" s="6" t="s">
        <v>1009</v>
      </c>
      <c r="E170" s="6" t="s">
        <v>330</v>
      </c>
      <c r="F170" s="12" t="str">
        <f aca="false">IFERROR(INDEX(Colaboradores!$E:$E,MATCH(E170,Colaboradores!$A:$A,0)),"")</f>
        <v>GABRIEL SCHURT (proprietario)</v>
      </c>
      <c r="G170" s="6" t="s">
        <v>571</v>
      </c>
      <c r="H170" s="12" t="str">
        <f aca="false">IFERROR(INDEX(Doc_Catalogo!$B:$B,MATCH(G170,Doc_Catalogo!$A:$A,0)),"")</f>
        <v>Ficha de Registro</v>
      </c>
      <c r="I170" s="6" t="s">
        <v>1017</v>
      </c>
      <c r="J170" s="6"/>
    </row>
    <row r="171" customFormat="false" ht="15" hidden="false" customHeight="false" outlineLevel="0" collapsed="false">
      <c r="A171" s="6" t="s">
        <v>1176</v>
      </c>
      <c r="B171" s="6" t="s">
        <v>454</v>
      </c>
      <c r="C171" s="12" t="str">
        <f aca="false">IFERROR(INDEX(Obras!$B:$B,MATCH(B171,Obras!$A:$A,0)),"")</f>
        <v>Hospital SC</v>
      </c>
      <c r="D171" s="6" t="s">
        <v>1009</v>
      </c>
      <c r="E171" s="6" t="s">
        <v>269</v>
      </c>
      <c r="F171" s="12" t="str">
        <f aca="false">IFERROR(INDEX(Colaboradores!$E:$E,MATCH(E171,Colaboradores!$A:$A,0)),"")</f>
        <v>FABIO LEANDRO DE FREITAS ASSIS</v>
      </c>
      <c r="G171" s="6" t="s">
        <v>571</v>
      </c>
      <c r="H171" s="12" t="str">
        <f aca="false">IFERROR(INDEX(Doc_Catalogo!$B:$B,MATCH(G171,Doc_Catalogo!$A:$A,0)),"")</f>
        <v>Ficha de Registro</v>
      </c>
      <c r="I171" s="6" t="s">
        <v>1017</v>
      </c>
      <c r="J171" s="6"/>
    </row>
    <row r="172" customFormat="false" ht="15" hidden="false" customHeight="false" outlineLevel="0" collapsed="false">
      <c r="A172" s="6" t="s">
        <v>1177</v>
      </c>
      <c r="B172" s="6" t="s">
        <v>454</v>
      </c>
      <c r="C172" s="12" t="str">
        <f aca="false">IFERROR(INDEX(Obras!$B:$B,MATCH(B172,Obras!$A:$A,0)),"")</f>
        <v>Hospital SC</v>
      </c>
      <c r="D172" s="6" t="s">
        <v>1009</v>
      </c>
      <c r="E172" s="6" t="s">
        <v>221</v>
      </c>
      <c r="F172" s="12" t="str">
        <f aca="false">IFERROR(INDEX(Colaboradores!$E:$E,MATCH(E172,Colaboradores!$A:$A,0)),"")</f>
        <v>SILVIO SCHURT</v>
      </c>
      <c r="G172" s="6" t="s">
        <v>603</v>
      </c>
      <c r="H172" s="12" t="str">
        <f aca="false">IFERROR(INDEX(Doc_Catalogo!$B:$B,MATCH(G172,Doc_Catalogo!$A:$A,0)),"")</f>
        <v>Demonstrativo e-Social com vinculo empregaticio</v>
      </c>
      <c r="I172" s="6" t="s">
        <v>1001</v>
      </c>
      <c r="J172" s="6"/>
    </row>
    <row r="173" customFormat="false" ht="15" hidden="false" customHeight="false" outlineLevel="0" collapsed="false">
      <c r="A173" s="6" t="s">
        <v>1178</v>
      </c>
      <c r="B173" s="6" t="s">
        <v>454</v>
      </c>
      <c r="C173" s="12" t="str">
        <f aca="false">IFERROR(INDEX(Obras!$B:$B,MATCH(B173,Obras!$A:$A,0)),"")</f>
        <v>Hospital SC</v>
      </c>
      <c r="D173" s="6" t="s">
        <v>1009</v>
      </c>
      <c r="E173" s="6" t="s">
        <v>241</v>
      </c>
      <c r="F173" s="12" t="str">
        <f aca="false">IFERROR(INDEX(Colaboradores!$E:$E,MATCH(E173,Colaboradores!$A:$A,0)),"")</f>
        <v>DANIEL SCHURT</v>
      </c>
      <c r="G173" s="6" t="s">
        <v>603</v>
      </c>
      <c r="H173" s="12" t="str">
        <f aca="false">IFERROR(INDEX(Doc_Catalogo!$B:$B,MATCH(G173,Doc_Catalogo!$A:$A,0)),"")</f>
        <v>Demonstrativo e-Social com vinculo empregaticio</v>
      </c>
      <c r="I173" s="6" t="s">
        <v>1001</v>
      </c>
      <c r="J173" s="6"/>
    </row>
    <row r="174" customFormat="false" ht="15" hidden="false" customHeight="false" outlineLevel="0" collapsed="false">
      <c r="A174" s="6" t="s">
        <v>1179</v>
      </c>
      <c r="B174" s="6" t="s">
        <v>454</v>
      </c>
      <c r="C174" s="12" t="str">
        <f aca="false">IFERROR(INDEX(Obras!$B:$B,MATCH(B174,Obras!$A:$A,0)),"")</f>
        <v>Hospital SC</v>
      </c>
      <c r="D174" s="6" t="s">
        <v>1009</v>
      </c>
      <c r="E174" s="6" t="s">
        <v>330</v>
      </c>
      <c r="F174" s="12" t="str">
        <f aca="false">IFERROR(INDEX(Colaboradores!$E:$E,MATCH(E174,Colaboradores!$A:$A,0)),"")</f>
        <v>GABRIEL SCHURT (proprietario)</v>
      </c>
      <c r="G174" s="6" t="s">
        <v>603</v>
      </c>
      <c r="H174" s="12" t="str">
        <f aca="false">IFERROR(INDEX(Doc_Catalogo!$B:$B,MATCH(G174,Doc_Catalogo!$A:$A,0)),"")</f>
        <v>Demonstrativo e-Social com vinculo empregaticio</v>
      </c>
      <c r="I174" s="6" t="s">
        <v>1001</v>
      </c>
      <c r="J174" s="6"/>
    </row>
    <row r="175" customFormat="false" ht="15" hidden="false" customHeight="false" outlineLevel="0" collapsed="false">
      <c r="A175" s="6" t="s">
        <v>1180</v>
      </c>
      <c r="B175" s="6" t="s">
        <v>454</v>
      </c>
      <c r="C175" s="12" t="str">
        <f aca="false">IFERROR(INDEX(Obras!$B:$B,MATCH(B175,Obras!$A:$A,0)),"")</f>
        <v>Hospital SC</v>
      </c>
      <c r="D175" s="6" t="s">
        <v>1009</v>
      </c>
      <c r="E175" s="6" t="s">
        <v>221</v>
      </c>
      <c r="F175" s="12" t="str">
        <f aca="false">IFERROR(INDEX(Colaboradores!$E:$E,MATCH(E175,Colaboradores!$A:$A,0)),"")</f>
        <v>SILVIO SCHURT</v>
      </c>
      <c r="G175" s="6" t="s">
        <v>501</v>
      </c>
      <c r="H175" s="12" t="str">
        <f aca="false">IFERROR(INDEX(Doc_Catalogo!$B:$B,MATCH(G175,Doc_Catalogo!$A:$A,0)),"")</f>
        <v>ASO</v>
      </c>
      <c r="I175" s="6" t="s">
        <v>1001</v>
      </c>
      <c r="J175" s="6"/>
    </row>
    <row r="176" customFormat="false" ht="15" hidden="false" customHeight="false" outlineLevel="0" collapsed="false">
      <c r="A176" s="6" t="s">
        <v>1181</v>
      </c>
      <c r="B176" s="6" t="s">
        <v>454</v>
      </c>
      <c r="C176" s="12" t="str">
        <f aca="false">IFERROR(INDEX(Obras!$B:$B,MATCH(B176,Obras!$A:$A,0)),"")</f>
        <v>Hospital SC</v>
      </c>
      <c r="D176" s="6" t="s">
        <v>1009</v>
      </c>
      <c r="E176" s="6" t="s">
        <v>241</v>
      </c>
      <c r="F176" s="12" t="str">
        <f aca="false">IFERROR(INDEX(Colaboradores!$E:$E,MATCH(E176,Colaboradores!$A:$A,0)),"")</f>
        <v>DANIEL SCHURT</v>
      </c>
      <c r="G176" s="6" t="s">
        <v>501</v>
      </c>
      <c r="H176" s="12" t="str">
        <f aca="false">IFERROR(INDEX(Doc_Catalogo!$B:$B,MATCH(G176,Doc_Catalogo!$A:$A,0)),"")</f>
        <v>ASO</v>
      </c>
      <c r="I176" s="6" t="s">
        <v>1001</v>
      </c>
      <c r="J176" s="6"/>
    </row>
    <row r="177" customFormat="false" ht="15" hidden="false" customHeight="false" outlineLevel="0" collapsed="false">
      <c r="A177" s="6" t="s">
        <v>1182</v>
      </c>
      <c r="B177" s="6" t="s">
        <v>454</v>
      </c>
      <c r="C177" s="12" t="str">
        <f aca="false">IFERROR(INDEX(Obras!$B:$B,MATCH(B177,Obras!$A:$A,0)),"")</f>
        <v>Hospital SC</v>
      </c>
      <c r="D177" s="6" t="s">
        <v>1009</v>
      </c>
      <c r="E177" s="6" t="s">
        <v>330</v>
      </c>
      <c r="F177" s="12" t="str">
        <f aca="false">IFERROR(INDEX(Colaboradores!$E:$E,MATCH(E177,Colaboradores!$A:$A,0)),"")</f>
        <v>GABRIEL SCHURT (proprietario)</v>
      </c>
      <c r="G177" s="6" t="s">
        <v>501</v>
      </c>
      <c r="H177" s="12" t="str">
        <f aca="false">IFERROR(INDEX(Doc_Catalogo!$B:$B,MATCH(G177,Doc_Catalogo!$A:$A,0)),"")</f>
        <v>ASO</v>
      </c>
      <c r="I177" s="6" t="s">
        <v>1001</v>
      </c>
      <c r="J177" s="6"/>
    </row>
    <row r="178" customFormat="false" ht="15" hidden="false" customHeight="false" outlineLevel="0" collapsed="false">
      <c r="A178" s="6" t="s">
        <v>1183</v>
      </c>
      <c r="B178" s="6" t="s">
        <v>454</v>
      </c>
      <c r="C178" s="12" t="str">
        <f aca="false">IFERROR(INDEX(Obras!$B:$B,MATCH(B178,Obras!$A:$A,0)),"")</f>
        <v>Hospital SC</v>
      </c>
      <c r="D178" s="6" t="s">
        <v>1009</v>
      </c>
      <c r="E178" s="6" t="s">
        <v>269</v>
      </c>
      <c r="F178" s="12" t="str">
        <f aca="false">IFERROR(INDEX(Colaboradores!$E:$E,MATCH(E178,Colaboradores!$A:$A,0)),"")</f>
        <v>FABIO LEANDRO DE FREITAS ASSIS</v>
      </c>
      <c r="G178" s="6" t="s">
        <v>501</v>
      </c>
      <c r="H178" s="12" t="str">
        <f aca="false">IFERROR(INDEX(Doc_Catalogo!$B:$B,MATCH(G178,Doc_Catalogo!$A:$A,0)),"")</f>
        <v>ASO</v>
      </c>
      <c r="I178" s="6" t="s">
        <v>1001</v>
      </c>
      <c r="J178" s="6"/>
    </row>
    <row r="179" customFormat="false" ht="15" hidden="false" customHeight="false" outlineLevel="0" collapsed="false">
      <c r="A179" s="6" t="s">
        <v>1184</v>
      </c>
      <c r="B179" s="6" t="s">
        <v>454</v>
      </c>
      <c r="C179" s="12" t="str">
        <f aca="false">IFERROR(INDEX(Obras!$B:$B,MATCH(B179,Obras!$A:$A,0)),"")</f>
        <v>Hospital SC</v>
      </c>
      <c r="D179" s="6" t="s">
        <v>1009</v>
      </c>
      <c r="E179" s="6" t="s">
        <v>355</v>
      </c>
      <c r="F179" s="12" t="str">
        <f aca="false">IFERROR(INDEX(Colaboradores!$E:$E,MATCH(E179,Colaboradores!$A:$A,0)),"")</f>
        <v>LUCAS FRANCO</v>
      </c>
      <c r="G179" s="6" t="s">
        <v>501</v>
      </c>
      <c r="H179" s="12" t="str">
        <f aca="false">IFERROR(INDEX(Doc_Catalogo!$B:$B,MATCH(G179,Doc_Catalogo!$A:$A,0)),"")</f>
        <v>ASO</v>
      </c>
      <c r="I179" s="6" t="s">
        <v>1001</v>
      </c>
      <c r="J179" s="6"/>
    </row>
    <row r="180" customFormat="false" ht="15" hidden="false" customHeight="false" outlineLevel="0" collapsed="false">
      <c r="A180" s="6" t="s">
        <v>1185</v>
      </c>
      <c r="B180" s="6" t="s">
        <v>454</v>
      </c>
      <c r="C180" s="12" t="str">
        <f aca="false">IFERROR(INDEX(Obras!$B:$B,MATCH(B180,Obras!$A:$A,0)),"")</f>
        <v>Hospital SC</v>
      </c>
      <c r="D180" s="6" t="s">
        <v>1009</v>
      </c>
      <c r="E180" s="6" t="s">
        <v>221</v>
      </c>
      <c r="F180" s="12" t="str">
        <f aca="false">IFERROR(INDEX(Colaboradores!$E:$E,MATCH(E180,Colaboradores!$A:$A,0)),"")</f>
        <v>SILVIO SCHURT</v>
      </c>
      <c r="G180" s="6" t="s">
        <v>586</v>
      </c>
      <c r="H180" s="12" t="str">
        <f aca="false">IFERROR(INDEX(Doc_Catalogo!$B:$B,MATCH(G180,Doc_Catalogo!$A:$A,0)),"")</f>
        <v>Ordem de Servico</v>
      </c>
      <c r="I180" s="6" t="s">
        <v>1001</v>
      </c>
      <c r="J180" s="6"/>
    </row>
    <row r="181" customFormat="false" ht="15" hidden="false" customHeight="false" outlineLevel="0" collapsed="false">
      <c r="A181" s="6" t="s">
        <v>1186</v>
      </c>
      <c r="B181" s="6" t="s">
        <v>454</v>
      </c>
      <c r="C181" s="12" t="str">
        <f aca="false">IFERROR(INDEX(Obras!$B:$B,MATCH(B181,Obras!$A:$A,0)),"")</f>
        <v>Hospital SC</v>
      </c>
      <c r="D181" s="6" t="s">
        <v>1009</v>
      </c>
      <c r="E181" s="6" t="s">
        <v>241</v>
      </c>
      <c r="F181" s="12" t="str">
        <f aca="false">IFERROR(INDEX(Colaboradores!$E:$E,MATCH(E181,Colaboradores!$A:$A,0)),"")</f>
        <v>DANIEL SCHURT</v>
      </c>
      <c r="G181" s="6" t="s">
        <v>586</v>
      </c>
      <c r="H181" s="12" t="str">
        <f aca="false">IFERROR(INDEX(Doc_Catalogo!$B:$B,MATCH(G181,Doc_Catalogo!$A:$A,0)),"")</f>
        <v>Ordem de Servico</v>
      </c>
      <c r="I181" s="6" t="s">
        <v>1001</v>
      </c>
      <c r="J181" s="6"/>
    </row>
    <row r="182" customFormat="false" ht="15" hidden="false" customHeight="false" outlineLevel="0" collapsed="false">
      <c r="A182" s="6" t="s">
        <v>1187</v>
      </c>
      <c r="B182" s="6" t="s">
        <v>454</v>
      </c>
      <c r="C182" s="12" t="str">
        <f aca="false">IFERROR(INDEX(Obras!$B:$B,MATCH(B182,Obras!$A:$A,0)),"")</f>
        <v>Hospital SC</v>
      </c>
      <c r="D182" s="6" t="s">
        <v>1009</v>
      </c>
      <c r="E182" s="6" t="s">
        <v>330</v>
      </c>
      <c r="F182" s="12" t="str">
        <f aca="false">IFERROR(INDEX(Colaboradores!$E:$E,MATCH(E182,Colaboradores!$A:$A,0)),"")</f>
        <v>GABRIEL SCHURT (proprietario)</v>
      </c>
      <c r="G182" s="6" t="s">
        <v>586</v>
      </c>
      <c r="H182" s="12" t="str">
        <f aca="false">IFERROR(INDEX(Doc_Catalogo!$B:$B,MATCH(G182,Doc_Catalogo!$A:$A,0)),"")</f>
        <v>Ordem de Servico</v>
      </c>
      <c r="I182" s="6" t="s">
        <v>1001</v>
      </c>
      <c r="J182" s="6"/>
    </row>
    <row r="183" customFormat="false" ht="15" hidden="false" customHeight="false" outlineLevel="0" collapsed="false">
      <c r="A183" s="6" t="s">
        <v>1188</v>
      </c>
      <c r="B183" s="6" t="s">
        <v>454</v>
      </c>
      <c r="C183" s="12" t="str">
        <f aca="false">IFERROR(INDEX(Obras!$B:$B,MATCH(B183,Obras!$A:$A,0)),"")</f>
        <v>Hospital SC</v>
      </c>
      <c r="D183" s="6" t="s">
        <v>1009</v>
      </c>
      <c r="E183" s="6" t="s">
        <v>269</v>
      </c>
      <c r="F183" s="12" t="str">
        <f aca="false">IFERROR(INDEX(Colaboradores!$E:$E,MATCH(E183,Colaboradores!$A:$A,0)),"")</f>
        <v>FABIO LEANDRO DE FREITAS ASSIS</v>
      </c>
      <c r="G183" s="6" t="s">
        <v>586</v>
      </c>
      <c r="H183" s="12" t="str">
        <f aca="false">IFERROR(INDEX(Doc_Catalogo!$B:$B,MATCH(G183,Doc_Catalogo!$A:$A,0)),"")</f>
        <v>Ordem de Servico</v>
      </c>
      <c r="I183" s="6" t="s">
        <v>1001</v>
      </c>
      <c r="J183" s="6"/>
    </row>
    <row r="184" customFormat="false" ht="15" hidden="false" customHeight="false" outlineLevel="0" collapsed="false">
      <c r="A184" s="6" t="s">
        <v>1189</v>
      </c>
      <c r="B184" s="6" t="s">
        <v>454</v>
      </c>
      <c r="C184" s="12" t="str">
        <f aca="false">IFERROR(INDEX(Obras!$B:$B,MATCH(B184,Obras!$A:$A,0)),"")</f>
        <v>Hospital SC</v>
      </c>
      <c r="D184" s="6" t="s">
        <v>1009</v>
      </c>
      <c r="E184" s="6" t="s">
        <v>221</v>
      </c>
      <c r="F184" s="12" t="str">
        <f aca="false">IFERROR(INDEX(Colaboradores!$E:$E,MATCH(E184,Colaboradores!$A:$A,0)),"")</f>
        <v>SILVIO SCHURT</v>
      </c>
      <c r="G184" s="6" t="s">
        <v>588</v>
      </c>
      <c r="H184" s="12" t="str">
        <f aca="false">IFERROR(INDEX(Doc_Catalogo!$B:$B,MATCH(G184,Doc_Catalogo!$A:$A,0)),"")</f>
        <v>Ficha de EPI Atualizada</v>
      </c>
      <c r="I184" s="6" t="s">
        <v>1001</v>
      </c>
      <c r="J184" s="6"/>
    </row>
    <row r="185" customFormat="false" ht="15" hidden="false" customHeight="false" outlineLevel="0" collapsed="false">
      <c r="A185" s="6" t="s">
        <v>1190</v>
      </c>
      <c r="B185" s="6" t="s">
        <v>454</v>
      </c>
      <c r="C185" s="12" t="str">
        <f aca="false">IFERROR(INDEX(Obras!$B:$B,MATCH(B185,Obras!$A:$A,0)),"")</f>
        <v>Hospital SC</v>
      </c>
      <c r="D185" s="6" t="s">
        <v>1009</v>
      </c>
      <c r="E185" s="6" t="s">
        <v>241</v>
      </c>
      <c r="F185" s="12" t="str">
        <f aca="false">IFERROR(INDEX(Colaboradores!$E:$E,MATCH(E185,Colaboradores!$A:$A,0)),"")</f>
        <v>DANIEL SCHURT</v>
      </c>
      <c r="G185" s="6" t="s">
        <v>588</v>
      </c>
      <c r="H185" s="12" t="str">
        <f aca="false">IFERROR(INDEX(Doc_Catalogo!$B:$B,MATCH(G185,Doc_Catalogo!$A:$A,0)),"")</f>
        <v>Ficha de EPI Atualizada</v>
      </c>
      <c r="I185" s="6" t="s">
        <v>1001</v>
      </c>
      <c r="J185" s="6"/>
    </row>
    <row r="186" customFormat="false" ht="15" hidden="false" customHeight="false" outlineLevel="0" collapsed="false">
      <c r="A186" s="6" t="s">
        <v>1191</v>
      </c>
      <c r="B186" s="6" t="s">
        <v>454</v>
      </c>
      <c r="C186" s="12" t="str">
        <f aca="false">IFERROR(INDEX(Obras!$B:$B,MATCH(B186,Obras!$A:$A,0)),"")</f>
        <v>Hospital SC</v>
      </c>
      <c r="D186" s="6" t="s">
        <v>1009</v>
      </c>
      <c r="E186" s="6" t="s">
        <v>330</v>
      </c>
      <c r="F186" s="12" t="str">
        <f aca="false">IFERROR(INDEX(Colaboradores!$E:$E,MATCH(E186,Colaboradores!$A:$A,0)),"")</f>
        <v>GABRIEL SCHURT (proprietario)</v>
      </c>
      <c r="G186" s="6" t="s">
        <v>588</v>
      </c>
      <c r="H186" s="12" t="str">
        <f aca="false">IFERROR(INDEX(Doc_Catalogo!$B:$B,MATCH(G186,Doc_Catalogo!$A:$A,0)),"")</f>
        <v>Ficha de EPI Atualizada</v>
      </c>
      <c r="I186" s="6" t="s">
        <v>1001</v>
      </c>
      <c r="J186" s="6"/>
    </row>
    <row r="187" customFormat="false" ht="15" hidden="false" customHeight="false" outlineLevel="0" collapsed="false">
      <c r="A187" s="6" t="s">
        <v>1192</v>
      </c>
      <c r="B187" s="6" t="s">
        <v>454</v>
      </c>
      <c r="C187" s="12" t="str">
        <f aca="false">IFERROR(INDEX(Obras!$B:$B,MATCH(B187,Obras!$A:$A,0)),"")</f>
        <v>Hospital SC</v>
      </c>
      <c r="D187" s="6" t="s">
        <v>1009</v>
      </c>
      <c r="E187" s="6" t="s">
        <v>241</v>
      </c>
      <c r="F187" s="12" t="str">
        <f aca="false">IFERROR(INDEX(Colaboradores!$E:$E,MATCH(E187,Colaboradores!$A:$A,0)),"")</f>
        <v>DANIEL SCHURT</v>
      </c>
      <c r="G187" s="6" t="s">
        <v>601</v>
      </c>
      <c r="H187" s="12" t="str">
        <f aca="false">IFERROR(INDEX(Doc_Catalogo!$B:$B,MATCH(G187,Doc_Catalogo!$A:$A,0)),"")</f>
        <v>Carteira de saude c/ Antitetanica</v>
      </c>
      <c r="I187" s="6" t="s">
        <v>1001</v>
      </c>
      <c r="J187" s="6"/>
    </row>
    <row r="188" customFormat="false" ht="15" hidden="false" customHeight="false" outlineLevel="0" collapsed="false">
      <c r="A188" s="6" t="s">
        <v>1193</v>
      </c>
      <c r="B188" s="6" t="s">
        <v>454</v>
      </c>
      <c r="C188" s="12" t="str">
        <f aca="false">IFERROR(INDEX(Obras!$B:$B,MATCH(B188,Obras!$A:$A,0)),"")</f>
        <v>Hospital SC</v>
      </c>
      <c r="D188" s="6" t="s">
        <v>1009</v>
      </c>
      <c r="E188" s="6" t="s">
        <v>221</v>
      </c>
      <c r="F188" s="12" t="str">
        <f aca="false">IFERROR(INDEX(Colaboradores!$E:$E,MATCH(E188,Colaboradores!$A:$A,0)),"")</f>
        <v>SILVIO SCHURT</v>
      </c>
      <c r="G188" s="6" t="s">
        <v>519</v>
      </c>
      <c r="H188" s="12" t="str">
        <f aca="false">IFERROR(INDEX(Doc_Catalogo!$B:$B,MATCH(G188,Doc_Catalogo!$A:$A,0)),"")</f>
        <v>Certificado da NR06 — Colaborador</v>
      </c>
      <c r="I188" s="6" t="s">
        <v>1001</v>
      </c>
      <c r="J188" s="6"/>
    </row>
    <row r="189" customFormat="false" ht="15" hidden="false" customHeight="false" outlineLevel="0" collapsed="false">
      <c r="A189" s="6" t="s">
        <v>1194</v>
      </c>
      <c r="B189" s="6" t="s">
        <v>454</v>
      </c>
      <c r="C189" s="12" t="str">
        <f aca="false">IFERROR(INDEX(Obras!$B:$B,MATCH(B189,Obras!$A:$A,0)),"")</f>
        <v>Hospital SC</v>
      </c>
      <c r="D189" s="6" t="s">
        <v>1009</v>
      </c>
      <c r="E189" s="6" t="s">
        <v>241</v>
      </c>
      <c r="F189" s="12" t="str">
        <f aca="false">IFERROR(INDEX(Colaboradores!$E:$E,MATCH(E189,Colaboradores!$A:$A,0)),"")</f>
        <v>DANIEL SCHURT</v>
      </c>
      <c r="G189" s="6" t="s">
        <v>519</v>
      </c>
      <c r="H189" s="12" t="str">
        <f aca="false">IFERROR(INDEX(Doc_Catalogo!$B:$B,MATCH(G189,Doc_Catalogo!$A:$A,0)),"")</f>
        <v>Certificado da NR06 — Colaborador</v>
      </c>
      <c r="I189" s="6" t="s">
        <v>1001</v>
      </c>
      <c r="J189" s="6"/>
    </row>
    <row r="190" customFormat="false" ht="15" hidden="false" customHeight="false" outlineLevel="0" collapsed="false">
      <c r="A190" s="6" t="s">
        <v>1195</v>
      </c>
      <c r="B190" s="6" t="s">
        <v>454</v>
      </c>
      <c r="C190" s="12" t="str">
        <f aca="false">IFERROR(INDEX(Obras!$B:$B,MATCH(B190,Obras!$A:$A,0)),"")</f>
        <v>Hospital SC</v>
      </c>
      <c r="D190" s="6" t="s">
        <v>1009</v>
      </c>
      <c r="E190" s="6" t="s">
        <v>330</v>
      </c>
      <c r="F190" s="12" t="str">
        <f aca="false">IFERROR(INDEX(Colaboradores!$E:$E,MATCH(E190,Colaboradores!$A:$A,0)),"")</f>
        <v>GABRIEL SCHURT (proprietario)</v>
      </c>
      <c r="G190" s="6" t="s">
        <v>519</v>
      </c>
      <c r="H190" s="12" t="str">
        <f aca="false">IFERROR(INDEX(Doc_Catalogo!$B:$B,MATCH(G190,Doc_Catalogo!$A:$A,0)),"")</f>
        <v>Certificado da NR06 — Colaborador</v>
      </c>
      <c r="I190" s="6" t="s">
        <v>1001</v>
      </c>
      <c r="J190" s="6"/>
    </row>
    <row r="191" customFormat="false" ht="15" hidden="false" customHeight="false" outlineLevel="0" collapsed="false">
      <c r="A191" s="6" t="s">
        <v>1196</v>
      </c>
      <c r="B191" s="6" t="s">
        <v>454</v>
      </c>
      <c r="C191" s="12" t="str">
        <f aca="false">IFERROR(INDEX(Obras!$B:$B,MATCH(B191,Obras!$A:$A,0)),"")</f>
        <v>Hospital SC</v>
      </c>
      <c r="D191" s="6" t="s">
        <v>1009</v>
      </c>
      <c r="E191" s="6" t="s">
        <v>221</v>
      </c>
      <c r="F191" s="12" t="str">
        <f aca="false">IFERROR(INDEX(Colaboradores!$E:$E,MATCH(E191,Colaboradores!$A:$A,0)),"")</f>
        <v>SILVIO SCHURT</v>
      </c>
      <c r="G191" s="6" t="s">
        <v>524</v>
      </c>
      <c r="H191" s="12" t="str">
        <f aca="false">IFERROR(INDEX(Doc_Catalogo!$B:$B,MATCH(G191,Doc_Catalogo!$A:$A,0)),"")</f>
        <v>Certificado da NR10 — Colaborador</v>
      </c>
      <c r="I191" s="6" t="s">
        <v>1001</v>
      </c>
      <c r="J191" s="6"/>
    </row>
    <row r="192" customFormat="false" ht="15" hidden="false" customHeight="false" outlineLevel="0" collapsed="false">
      <c r="A192" s="6" t="s">
        <v>1197</v>
      </c>
      <c r="B192" s="6" t="s">
        <v>454</v>
      </c>
      <c r="C192" s="12" t="str">
        <f aca="false">IFERROR(INDEX(Obras!$B:$B,MATCH(B192,Obras!$A:$A,0)),"")</f>
        <v>Hospital SC</v>
      </c>
      <c r="D192" s="6" t="s">
        <v>1009</v>
      </c>
      <c r="E192" s="6" t="s">
        <v>241</v>
      </c>
      <c r="F192" s="12" t="str">
        <f aca="false">IFERROR(INDEX(Colaboradores!$E:$E,MATCH(E192,Colaboradores!$A:$A,0)),"")</f>
        <v>DANIEL SCHURT</v>
      </c>
      <c r="G192" s="6" t="s">
        <v>524</v>
      </c>
      <c r="H192" s="12" t="str">
        <f aca="false">IFERROR(INDEX(Doc_Catalogo!$B:$B,MATCH(G192,Doc_Catalogo!$A:$A,0)),"")</f>
        <v>Certificado da NR10 — Colaborador</v>
      </c>
      <c r="I192" s="6" t="s">
        <v>1001</v>
      </c>
      <c r="J192" s="6"/>
    </row>
    <row r="193" customFormat="false" ht="15" hidden="false" customHeight="false" outlineLevel="0" collapsed="false">
      <c r="A193" s="6" t="s">
        <v>1198</v>
      </c>
      <c r="B193" s="6" t="s">
        <v>454</v>
      </c>
      <c r="C193" s="12" t="str">
        <f aca="false">IFERROR(INDEX(Obras!$B:$B,MATCH(B193,Obras!$A:$A,0)),"")</f>
        <v>Hospital SC</v>
      </c>
      <c r="D193" s="6" t="s">
        <v>1009</v>
      </c>
      <c r="E193" s="6" t="s">
        <v>330</v>
      </c>
      <c r="F193" s="12" t="str">
        <f aca="false">IFERROR(INDEX(Colaboradores!$E:$E,MATCH(E193,Colaboradores!$A:$A,0)),"")</f>
        <v>GABRIEL SCHURT (proprietario)</v>
      </c>
      <c r="G193" s="6" t="s">
        <v>524</v>
      </c>
      <c r="H193" s="12" t="str">
        <f aca="false">IFERROR(INDEX(Doc_Catalogo!$B:$B,MATCH(G193,Doc_Catalogo!$A:$A,0)),"")</f>
        <v>Certificado da NR10 — Colaborador</v>
      </c>
      <c r="I193" s="6" t="s">
        <v>1001</v>
      </c>
      <c r="J193" s="6"/>
    </row>
    <row r="194" customFormat="false" ht="15" hidden="false" customHeight="false" outlineLevel="0" collapsed="false">
      <c r="A194" s="6" t="s">
        <v>1199</v>
      </c>
      <c r="B194" s="6" t="s">
        <v>454</v>
      </c>
      <c r="C194" s="12" t="str">
        <f aca="false">IFERROR(INDEX(Obras!$B:$B,MATCH(B194,Obras!$A:$A,0)),"")</f>
        <v>Hospital SC</v>
      </c>
      <c r="D194" s="6" t="s">
        <v>1009</v>
      </c>
      <c r="E194" s="6" t="s">
        <v>269</v>
      </c>
      <c r="F194" s="12" t="str">
        <f aca="false">IFERROR(INDEX(Colaboradores!$E:$E,MATCH(E194,Colaboradores!$A:$A,0)),"")</f>
        <v>FABIO LEANDRO DE FREITAS ASSIS</v>
      </c>
      <c r="G194" s="6" t="s">
        <v>524</v>
      </c>
      <c r="H194" s="12" t="str">
        <f aca="false">IFERROR(INDEX(Doc_Catalogo!$B:$B,MATCH(G194,Doc_Catalogo!$A:$A,0)),"")</f>
        <v>Certificado da NR10 — Colaborador</v>
      </c>
      <c r="I194" s="6" t="s">
        <v>1001</v>
      </c>
      <c r="J194" s="6"/>
    </row>
    <row r="195" customFormat="false" ht="15" hidden="false" customHeight="false" outlineLevel="0" collapsed="false">
      <c r="A195" s="6" t="s">
        <v>1200</v>
      </c>
      <c r="B195" s="6" t="s">
        <v>454</v>
      </c>
      <c r="C195" s="12" t="str">
        <f aca="false">IFERROR(INDEX(Obras!$B:$B,MATCH(B195,Obras!$A:$A,0)),"")</f>
        <v>Hospital SC</v>
      </c>
      <c r="D195" s="6" t="s">
        <v>1009</v>
      </c>
      <c r="E195" s="6" t="s">
        <v>355</v>
      </c>
      <c r="F195" s="12" t="str">
        <f aca="false">IFERROR(INDEX(Colaboradores!$E:$E,MATCH(E195,Colaboradores!$A:$A,0)),"")</f>
        <v>LUCAS FRANCO</v>
      </c>
      <c r="G195" s="6" t="s">
        <v>524</v>
      </c>
      <c r="H195" s="12" t="str">
        <f aca="false">IFERROR(INDEX(Doc_Catalogo!$B:$B,MATCH(G195,Doc_Catalogo!$A:$A,0)),"")</f>
        <v>Certificado da NR10 — Colaborador</v>
      </c>
      <c r="I195" s="6" t="s">
        <v>1001</v>
      </c>
      <c r="J195" s="6"/>
    </row>
    <row r="196" customFormat="false" ht="15" hidden="false" customHeight="false" outlineLevel="0" collapsed="false">
      <c r="A196" s="6" t="s">
        <v>1201</v>
      </c>
      <c r="B196" s="6" t="s">
        <v>454</v>
      </c>
      <c r="C196" s="12" t="str">
        <f aca="false">IFERROR(INDEX(Obras!$B:$B,MATCH(B196,Obras!$A:$A,0)),"")</f>
        <v>Hospital SC</v>
      </c>
      <c r="D196" s="6" t="s">
        <v>1009</v>
      </c>
      <c r="E196" s="6" t="s">
        <v>358</v>
      </c>
      <c r="F196" s="12" t="str">
        <f aca="false">IFERROR(INDEX(Colaboradores!$E:$E,MATCH(E196,Colaboradores!$A:$A,0)),"")</f>
        <v>CLEITON NAVAS</v>
      </c>
      <c r="G196" s="6" t="s">
        <v>524</v>
      </c>
      <c r="H196" s="12" t="str">
        <f aca="false">IFERROR(INDEX(Doc_Catalogo!$B:$B,MATCH(G196,Doc_Catalogo!$A:$A,0)),"")</f>
        <v>Certificado da NR10 — Colaborador</v>
      </c>
      <c r="I196" s="6" t="s">
        <v>1001</v>
      </c>
      <c r="J196" s="6"/>
    </row>
    <row r="197" customFormat="false" ht="15" hidden="false" customHeight="false" outlineLevel="0" collapsed="false">
      <c r="A197" s="6" t="s">
        <v>1202</v>
      </c>
      <c r="B197" s="6" t="s">
        <v>454</v>
      </c>
      <c r="C197" s="12" t="str">
        <f aca="false">IFERROR(INDEX(Obras!$B:$B,MATCH(B197,Obras!$A:$A,0)),"")</f>
        <v>Hospital SC</v>
      </c>
      <c r="D197" s="6" t="s">
        <v>1009</v>
      </c>
      <c r="E197" s="6" t="s">
        <v>221</v>
      </c>
      <c r="F197" s="12" t="str">
        <f aca="false">IFERROR(INDEX(Colaboradores!$E:$E,MATCH(E197,Colaboradores!$A:$A,0)),"")</f>
        <v>SILVIO SCHURT</v>
      </c>
      <c r="G197" s="6" t="s">
        <v>533</v>
      </c>
      <c r="H197" s="12" t="str">
        <f aca="false">IFERROR(INDEX(Doc_Catalogo!$B:$B,MATCH(G197,Doc_Catalogo!$A:$A,0)),"")</f>
        <v>Certificado da NR11 — Colaborador</v>
      </c>
      <c r="I197" s="6" t="s">
        <v>1001</v>
      </c>
      <c r="J197" s="6"/>
    </row>
    <row r="198" customFormat="false" ht="15" hidden="false" customHeight="false" outlineLevel="0" collapsed="false">
      <c r="A198" s="6" t="s">
        <v>1203</v>
      </c>
      <c r="B198" s="6" t="s">
        <v>454</v>
      </c>
      <c r="C198" s="12" t="str">
        <f aca="false">IFERROR(INDEX(Obras!$B:$B,MATCH(B198,Obras!$A:$A,0)),"")</f>
        <v>Hospital SC</v>
      </c>
      <c r="D198" s="6" t="s">
        <v>1009</v>
      </c>
      <c r="E198" s="6" t="s">
        <v>241</v>
      </c>
      <c r="F198" s="12" t="str">
        <f aca="false">IFERROR(INDEX(Colaboradores!$E:$E,MATCH(E198,Colaboradores!$A:$A,0)),"")</f>
        <v>DANIEL SCHURT</v>
      </c>
      <c r="G198" s="6" t="s">
        <v>533</v>
      </c>
      <c r="H198" s="12" t="str">
        <f aca="false">IFERROR(INDEX(Doc_Catalogo!$B:$B,MATCH(G198,Doc_Catalogo!$A:$A,0)),"")</f>
        <v>Certificado da NR11 — Colaborador</v>
      </c>
      <c r="I198" s="6" t="s">
        <v>1001</v>
      </c>
      <c r="J198" s="6"/>
    </row>
    <row r="199" customFormat="false" ht="15" hidden="false" customHeight="false" outlineLevel="0" collapsed="false">
      <c r="A199" s="6" t="s">
        <v>1204</v>
      </c>
      <c r="B199" s="6" t="s">
        <v>454</v>
      </c>
      <c r="C199" s="12" t="str">
        <f aca="false">IFERROR(INDEX(Obras!$B:$B,MATCH(B199,Obras!$A:$A,0)),"")</f>
        <v>Hospital SC</v>
      </c>
      <c r="D199" s="6" t="s">
        <v>1009</v>
      </c>
      <c r="E199" s="6" t="s">
        <v>330</v>
      </c>
      <c r="F199" s="12" t="str">
        <f aca="false">IFERROR(INDEX(Colaboradores!$E:$E,MATCH(E199,Colaboradores!$A:$A,0)),"")</f>
        <v>GABRIEL SCHURT (proprietario)</v>
      </c>
      <c r="G199" s="6" t="s">
        <v>533</v>
      </c>
      <c r="H199" s="12" t="str">
        <f aca="false">IFERROR(INDEX(Doc_Catalogo!$B:$B,MATCH(G199,Doc_Catalogo!$A:$A,0)),"")</f>
        <v>Certificado da NR11 — Colaborador</v>
      </c>
      <c r="I199" s="6" t="s">
        <v>1001</v>
      </c>
      <c r="J199" s="6"/>
    </row>
    <row r="200" customFormat="false" ht="15" hidden="false" customHeight="false" outlineLevel="0" collapsed="false">
      <c r="A200" s="6" t="s">
        <v>1205</v>
      </c>
      <c r="B200" s="6" t="s">
        <v>454</v>
      </c>
      <c r="C200" s="12" t="str">
        <f aca="false">IFERROR(INDEX(Obras!$B:$B,MATCH(B200,Obras!$A:$A,0)),"")</f>
        <v>Hospital SC</v>
      </c>
      <c r="D200" s="6" t="s">
        <v>1009</v>
      </c>
      <c r="E200" s="6" t="s">
        <v>221</v>
      </c>
      <c r="F200" s="12" t="str">
        <f aca="false">IFERROR(INDEX(Colaboradores!$E:$E,MATCH(E200,Colaboradores!$A:$A,0)),"")</f>
        <v>SILVIO SCHURT</v>
      </c>
      <c r="G200" s="6" t="s">
        <v>537</v>
      </c>
      <c r="H200" s="12" t="str">
        <f aca="false">IFERROR(INDEX(Doc_Catalogo!$B:$B,MATCH(G200,Doc_Catalogo!$A:$A,0)),"")</f>
        <v>Certificado da NR12 — Colaborador</v>
      </c>
      <c r="I200" s="6" t="s">
        <v>1001</v>
      </c>
      <c r="J200" s="6"/>
    </row>
    <row r="201" customFormat="false" ht="15" hidden="false" customHeight="false" outlineLevel="0" collapsed="false">
      <c r="A201" s="6" t="s">
        <v>1206</v>
      </c>
      <c r="B201" s="6" t="s">
        <v>454</v>
      </c>
      <c r="C201" s="12" t="str">
        <f aca="false">IFERROR(INDEX(Obras!$B:$B,MATCH(B201,Obras!$A:$A,0)),"")</f>
        <v>Hospital SC</v>
      </c>
      <c r="D201" s="6" t="s">
        <v>1009</v>
      </c>
      <c r="E201" s="6" t="s">
        <v>241</v>
      </c>
      <c r="F201" s="12" t="str">
        <f aca="false">IFERROR(INDEX(Colaboradores!$E:$E,MATCH(E201,Colaboradores!$A:$A,0)),"")</f>
        <v>DANIEL SCHURT</v>
      </c>
      <c r="G201" s="6" t="s">
        <v>537</v>
      </c>
      <c r="H201" s="12" t="str">
        <f aca="false">IFERROR(INDEX(Doc_Catalogo!$B:$B,MATCH(G201,Doc_Catalogo!$A:$A,0)),"")</f>
        <v>Certificado da NR12 — Colaborador</v>
      </c>
      <c r="I201" s="6" t="s">
        <v>1001</v>
      </c>
      <c r="J201" s="6"/>
    </row>
    <row r="202" customFormat="false" ht="15" hidden="false" customHeight="false" outlineLevel="0" collapsed="false">
      <c r="A202" s="6" t="s">
        <v>1207</v>
      </c>
      <c r="B202" s="6" t="s">
        <v>454</v>
      </c>
      <c r="C202" s="12" t="str">
        <f aca="false">IFERROR(INDEX(Obras!$B:$B,MATCH(B202,Obras!$A:$A,0)),"")</f>
        <v>Hospital SC</v>
      </c>
      <c r="D202" s="6" t="s">
        <v>1009</v>
      </c>
      <c r="E202" s="6" t="s">
        <v>330</v>
      </c>
      <c r="F202" s="12" t="str">
        <f aca="false">IFERROR(INDEX(Colaboradores!$E:$E,MATCH(E202,Colaboradores!$A:$A,0)),"")</f>
        <v>GABRIEL SCHURT (proprietario)</v>
      </c>
      <c r="G202" s="6" t="s">
        <v>537</v>
      </c>
      <c r="H202" s="12" t="str">
        <f aca="false">IFERROR(INDEX(Doc_Catalogo!$B:$B,MATCH(G202,Doc_Catalogo!$A:$A,0)),"")</f>
        <v>Certificado da NR12 — Colaborador</v>
      </c>
      <c r="I202" s="6" t="s">
        <v>1001</v>
      </c>
      <c r="J202" s="6"/>
    </row>
    <row r="203" customFormat="false" ht="15" hidden="false" customHeight="false" outlineLevel="0" collapsed="false">
      <c r="A203" s="6" t="s">
        <v>1208</v>
      </c>
      <c r="B203" s="6" t="s">
        <v>454</v>
      </c>
      <c r="C203" s="12" t="str">
        <f aca="false">IFERROR(INDEX(Obras!$B:$B,MATCH(B203,Obras!$A:$A,0)),"")</f>
        <v>Hospital SC</v>
      </c>
      <c r="D203" s="6" t="s">
        <v>1009</v>
      </c>
      <c r="E203" s="6" t="s">
        <v>269</v>
      </c>
      <c r="F203" s="12" t="str">
        <f aca="false">IFERROR(INDEX(Colaboradores!$E:$E,MATCH(E203,Colaboradores!$A:$A,0)),"")</f>
        <v>FABIO LEANDRO DE FREITAS ASSIS</v>
      </c>
      <c r="G203" s="6" t="s">
        <v>537</v>
      </c>
      <c r="H203" s="12" t="str">
        <f aca="false">IFERROR(INDEX(Doc_Catalogo!$B:$B,MATCH(G203,Doc_Catalogo!$A:$A,0)),"")</f>
        <v>Certificado da NR12 — Colaborador</v>
      </c>
      <c r="I203" s="6" t="s">
        <v>1001</v>
      </c>
      <c r="J203" s="6"/>
    </row>
    <row r="204" customFormat="false" ht="15" hidden="false" customHeight="false" outlineLevel="0" collapsed="false">
      <c r="A204" s="6" t="s">
        <v>1209</v>
      </c>
      <c r="B204" s="6" t="s">
        <v>454</v>
      </c>
      <c r="C204" s="12" t="str">
        <f aca="false">IFERROR(INDEX(Obras!$B:$B,MATCH(B204,Obras!$A:$A,0)),"")</f>
        <v>Hospital SC</v>
      </c>
      <c r="D204" s="6" t="s">
        <v>1009</v>
      </c>
      <c r="E204" s="6" t="s">
        <v>358</v>
      </c>
      <c r="F204" s="12" t="str">
        <f aca="false">IFERROR(INDEX(Colaboradores!$E:$E,MATCH(E204,Colaboradores!$A:$A,0)),"")</f>
        <v>CLEITON NAVAS</v>
      </c>
      <c r="G204" s="6" t="s">
        <v>537</v>
      </c>
      <c r="H204" s="12" t="str">
        <f aca="false">IFERROR(INDEX(Doc_Catalogo!$B:$B,MATCH(G204,Doc_Catalogo!$A:$A,0)),"")</f>
        <v>Certificado da NR12 — Colaborador</v>
      </c>
      <c r="I204" s="6" t="s">
        <v>1001</v>
      </c>
      <c r="J204" s="6"/>
    </row>
    <row r="205" customFormat="false" ht="15" hidden="false" customHeight="false" outlineLevel="0" collapsed="false">
      <c r="A205" s="6" t="s">
        <v>1210</v>
      </c>
      <c r="B205" s="6" t="s">
        <v>454</v>
      </c>
      <c r="C205" s="12" t="str">
        <f aca="false">IFERROR(INDEX(Obras!$B:$B,MATCH(B205,Obras!$A:$A,0)),"")</f>
        <v>Hospital SC</v>
      </c>
      <c r="D205" s="6" t="s">
        <v>1009</v>
      </c>
      <c r="E205" s="6" t="s">
        <v>221</v>
      </c>
      <c r="F205" s="12" t="str">
        <f aca="false">IFERROR(INDEX(Colaboradores!$E:$E,MATCH(E205,Colaboradores!$A:$A,0)),"")</f>
        <v>SILVIO SCHURT</v>
      </c>
      <c r="G205" s="6" t="s">
        <v>549</v>
      </c>
      <c r="H205" s="12" t="str">
        <f aca="false">IFERROR(INDEX(Doc_Catalogo!$B:$B,MATCH(G205,Doc_Catalogo!$A:$A,0)),"")</f>
        <v>Certificado da NR18 — Colaborador</v>
      </c>
      <c r="I205" s="6" t="s">
        <v>1001</v>
      </c>
      <c r="J205" s="6"/>
    </row>
    <row r="206" customFormat="false" ht="15" hidden="false" customHeight="false" outlineLevel="0" collapsed="false">
      <c r="A206" s="6" t="s">
        <v>1211</v>
      </c>
      <c r="B206" s="6" t="s">
        <v>454</v>
      </c>
      <c r="C206" s="12" t="str">
        <f aca="false">IFERROR(INDEX(Obras!$B:$B,MATCH(B206,Obras!$A:$A,0)),"")</f>
        <v>Hospital SC</v>
      </c>
      <c r="D206" s="6" t="s">
        <v>1009</v>
      </c>
      <c r="E206" s="6" t="s">
        <v>241</v>
      </c>
      <c r="F206" s="12" t="str">
        <f aca="false">IFERROR(INDEX(Colaboradores!$E:$E,MATCH(E206,Colaboradores!$A:$A,0)),"")</f>
        <v>DANIEL SCHURT</v>
      </c>
      <c r="G206" s="6" t="s">
        <v>549</v>
      </c>
      <c r="H206" s="12" t="str">
        <f aca="false">IFERROR(INDEX(Doc_Catalogo!$B:$B,MATCH(G206,Doc_Catalogo!$A:$A,0)),"")</f>
        <v>Certificado da NR18 — Colaborador</v>
      </c>
      <c r="I206" s="6" t="s">
        <v>1001</v>
      </c>
      <c r="J206" s="6"/>
    </row>
    <row r="207" customFormat="false" ht="15" hidden="false" customHeight="false" outlineLevel="0" collapsed="false">
      <c r="A207" s="6" t="s">
        <v>1212</v>
      </c>
      <c r="B207" s="6" t="s">
        <v>454</v>
      </c>
      <c r="C207" s="12" t="str">
        <f aca="false">IFERROR(INDEX(Obras!$B:$B,MATCH(B207,Obras!$A:$A,0)),"")</f>
        <v>Hospital SC</v>
      </c>
      <c r="D207" s="6" t="s">
        <v>1009</v>
      </c>
      <c r="E207" s="6" t="s">
        <v>330</v>
      </c>
      <c r="F207" s="12" t="str">
        <f aca="false">IFERROR(INDEX(Colaboradores!$E:$E,MATCH(E207,Colaboradores!$A:$A,0)),"")</f>
        <v>GABRIEL SCHURT (proprietario)</v>
      </c>
      <c r="G207" s="6" t="s">
        <v>549</v>
      </c>
      <c r="H207" s="12" t="str">
        <f aca="false">IFERROR(INDEX(Doc_Catalogo!$B:$B,MATCH(G207,Doc_Catalogo!$A:$A,0)),"")</f>
        <v>Certificado da NR18 — Colaborador</v>
      </c>
      <c r="I207" s="6" t="s">
        <v>1001</v>
      </c>
      <c r="J207" s="6"/>
    </row>
    <row r="208" customFormat="false" ht="15" hidden="false" customHeight="false" outlineLevel="0" collapsed="false">
      <c r="A208" s="6" t="s">
        <v>1213</v>
      </c>
      <c r="B208" s="6" t="s">
        <v>454</v>
      </c>
      <c r="C208" s="12" t="str">
        <f aca="false">IFERROR(INDEX(Obras!$B:$B,MATCH(B208,Obras!$A:$A,0)),"")</f>
        <v>Hospital SC</v>
      </c>
      <c r="D208" s="6" t="s">
        <v>1009</v>
      </c>
      <c r="E208" s="6" t="s">
        <v>269</v>
      </c>
      <c r="F208" s="12" t="str">
        <f aca="false">IFERROR(INDEX(Colaboradores!$E:$E,MATCH(E208,Colaboradores!$A:$A,0)),"")</f>
        <v>FABIO LEANDRO DE FREITAS ASSIS</v>
      </c>
      <c r="G208" s="6" t="s">
        <v>549</v>
      </c>
      <c r="H208" s="12" t="str">
        <f aca="false">IFERROR(INDEX(Doc_Catalogo!$B:$B,MATCH(G208,Doc_Catalogo!$A:$A,0)),"")</f>
        <v>Certificado da NR18 — Colaborador</v>
      </c>
      <c r="I208" s="6" t="s">
        <v>1001</v>
      </c>
      <c r="J208" s="6"/>
    </row>
    <row r="209" customFormat="false" ht="15" hidden="false" customHeight="false" outlineLevel="0" collapsed="false">
      <c r="A209" s="6" t="s">
        <v>1214</v>
      </c>
      <c r="B209" s="6" t="s">
        <v>454</v>
      </c>
      <c r="C209" s="12" t="str">
        <f aca="false">IFERROR(INDEX(Obras!$B:$B,MATCH(B209,Obras!$A:$A,0)),"")</f>
        <v>Hospital SC</v>
      </c>
      <c r="D209" s="6" t="s">
        <v>1009</v>
      </c>
      <c r="E209" s="6" t="s">
        <v>355</v>
      </c>
      <c r="F209" s="12" t="str">
        <f aca="false">IFERROR(INDEX(Colaboradores!$E:$E,MATCH(E209,Colaboradores!$A:$A,0)),"")</f>
        <v>LUCAS FRANCO</v>
      </c>
      <c r="G209" s="6" t="s">
        <v>549</v>
      </c>
      <c r="H209" s="12" t="str">
        <f aca="false">IFERROR(INDEX(Doc_Catalogo!$B:$B,MATCH(G209,Doc_Catalogo!$A:$A,0)),"")</f>
        <v>Certificado da NR18 — Colaborador</v>
      </c>
      <c r="I209" s="6" t="s">
        <v>1001</v>
      </c>
      <c r="J209" s="6"/>
    </row>
    <row r="210" customFormat="false" ht="15" hidden="false" customHeight="false" outlineLevel="0" collapsed="false">
      <c r="A210" s="6" t="s">
        <v>1215</v>
      </c>
      <c r="B210" s="6" t="s">
        <v>454</v>
      </c>
      <c r="C210" s="12" t="str">
        <f aca="false">IFERROR(INDEX(Obras!$B:$B,MATCH(B210,Obras!$A:$A,0)),"")</f>
        <v>Hospital SC</v>
      </c>
      <c r="D210" s="6" t="s">
        <v>1009</v>
      </c>
      <c r="E210" s="6" t="s">
        <v>358</v>
      </c>
      <c r="F210" s="12" t="str">
        <f aca="false">IFERROR(INDEX(Colaboradores!$E:$E,MATCH(E210,Colaboradores!$A:$A,0)),"")</f>
        <v>CLEITON NAVAS</v>
      </c>
      <c r="G210" s="6" t="s">
        <v>549</v>
      </c>
      <c r="H210" s="12" t="str">
        <f aca="false">IFERROR(INDEX(Doc_Catalogo!$B:$B,MATCH(G210,Doc_Catalogo!$A:$A,0)),"")</f>
        <v>Certificado da NR18 — Colaborador</v>
      </c>
      <c r="I210" s="6" t="s">
        <v>1001</v>
      </c>
      <c r="J210" s="6"/>
    </row>
    <row r="211" customFormat="false" ht="15" hidden="false" customHeight="false" outlineLevel="0" collapsed="false">
      <c r="A211" s="6" t="s">
        <v>1216</v>
      </c>
      <c r="B211" s="6" t="s">
        <v>454</v>
      </c>
      <c r="C211" s="12" t="str">
        <f aca="false">IFERROR(INDEX(Obras!$B:$B,MATCH(B211,Obras!$A:$A,0)),"")</f>
        <v>Hospital SC</v>
      </c>
      <c r="D211" s="6" t="s">
        <v>1009</v>
      </c>
      <c r="E211" s="6" t="s">
        <v>221</v>
      </c>
      <c r="F211" s="12" t="str">
        <f aca="false">IFERROR(INDEX(Colaboradores!$E:$E,MATCH(E211,Colaboradores!$A:$A,0)),"")</f>
        <v>SILVIO SCHURT</v>
      </c>
      <c r="G211" s="6" t="s">
        <v>553</v>
      </c>
      <c r="H211" s="12" t="str">
        <f aca="false">IFERROR(INDEX(Doc_Catalogo!$B:$B,MATCH(G211,Doc_Catalogo!$A:$A,0)),"")</f>
        <v>Certificado da NR33 — Colaborador</v>
      </c>
      <c r="I211" s="6" t="s">
        <v>1001</v>
      </c>
      <c r="J211" s="6"/>
    </row>
    <row r="212" customFormat="false" ht="15" hidden="false" customHeight="false" outlineLevel="0" collapsed="false">
      <c r="A212" s="6" t="s">
        <v>1217</v>
      </c>
      <c r="B212" s="6" t="s">
        <v>454</v>
      </c>
      <c r="C212" s="12" t="str">
        <f aca="false">IFERROR(INDEX(Obras!$B:$B,MATCH(B212,Obras!$A:$A,0)),"")</f>
        <v>Hospital SC</v>
      </c>
      <c r="D212" s="6" t="s">
        <v>1009</v>
      </c>
      <c r="E212" s="6" t="s">
        <v>241</v>
      </c>
      <c r="F212" s="12" t="str">
        <f aca="false">IFERROR(INDEX(Colaboradores!$E:$E,MATCH(E212,Colaboradores!$A:$A,0)),"")</f>
        <v>DANIEL SCHURT</v>
      </c>
      <c r="G212" s="6" t="s">
        <v>553</v>
      </c>
      <c r="H212" s="12" t="str">
        <f aca="false">IFERROR(INDEX(Doc_Catalogo!$B:$B,MATCH(G212,Doc_Catalogo!$A:$A,0)),"")</f>
        <v>Certificado da NR33 — Colaborador</v>
      </c>
      <c r="I212" s="6" t="s">
        <v>1001</v>
      </c>
      <c r="J212" s="6"/>
    </row>
    <row r="213" customFormat="false" ht="15" hidden="false" customHeight="false" outlineLevel="0" collapsed="false">
      <c r="A213" s="6" t="s">
        <v>1218</v>
      </c>
      <c r="B213" s="6" t="s">
        <v>454</v>
      </c>
      <c r="C213" s="12" t="str">
        <f aca="false">IFERROR(INDEX(Obras!$B:$B,MATCH(B213,Obras!$A:$A,0)),"")</f>
        <v>Hospital SC</v>
      </c>
      <c r="D213" s="6" t="s">
        <v>1009</v>
      </c>
      <c r="E213" s="6" t="s">
        <v>330</v>
      </c>
      <c r="F213" s="12" t="str">
        <f aca="false">IFERROR(INDEX(Colaboradores!$E:$E,MATCH(E213,Colaboradores!$A:$A,0)),"")</f>
        <v>GABRIEL SCHURT (proprietario)</v>
      </c>
      <c r="G213" s="6" t="s">
        <v>553</v>
      </c>
      <c r="H213" s="12" t="str">
        <f aca="false">IFERROR(INDEX(Doc_Catalogo!$B:$B,MATCH(G213,Doc_Catalogo!$A:$A,0)),"")</f>
        <v>Certificado da NR33 — Colaborador</v>
      </c>
      <c r="I213" s="6" t="s">
        <v>1001</v>
      </c>
      <c r="J213" s="6"/>
    </row>
    <row r="214" customFormat="false" ht="15" hidden="false" customHeight="false" outlineLevel="0" collapsed="false">
      <c r="A214" s="6" t="s">
        <v>1219</v>
      </c>
      <c r="B214" s="6" t="s">
        <v>454</v>
      </c>
      <c r="C214" s="12" t="str">
        <f aca="false">IFERROR(INDEX(Obras!$B:$B,MATCH(B214,Obras!$A:$A,0)),"")</f>
        <v>Hospital SC</v>
      </c>
      <c r="D214" s="6" t="s">
        <v>1009</v>
      </c>
      <c r="E214" s="6" t="s">
        <v>269</v>
      </c>
      <c r="F214" s="12" t="str">
        <f aca="false">IFERROR(INDEX(Colaboradores!$E:$E,MATCH(E214,Colaboradores!$A:$A,0)),"")</f>
        <v>FABIO LEANDRO DE FREITAS ASSIS</v>
      </c>
      <c r="G214" s="6" t="s">
        <v>553</v>
      </c>
      <c r="H214" s="12" t="str">
        <f aca="false">IFERROR(INDEX(Doc_Catalogo!$B:$B,MATCH(G214,Doc_Catalogo!$A:$A,0)),"")</f>
        <v>Certificado da NR33 — Colaborador</v>
      </c>
      <c r="I214" s="6" t="s">
        <v>1001</v>
      </c>
      <c r="J214" s="6"/>
    </row>
    <row r="215" customFormat="false" ht="15" hidden="false" customHeight="false" outlineLevel="0" collapsed="false">
      <c r="A215" s="6" t="s">
        <v>1220</v>
      </c>
      <c r="B215" s="6" t="s">
        <v>454</v>
      </c>
      <c r="C215" s="12" t="str">
        <f aca="false">IFERROR(INDEX(Obras!$B:$B,MATCH(B215,Obras!$A:$A,0)),"")</f>
        <v>Hospital SC</v>
      </c>
      <c r="D215" s="6" t="s">
        <v>1009</v>
      </c>
      <c r="E215" s="6" t="s">
        <v>355</v>
      </c>
      <c r="F215" s="12" t="str">
        <f aca="false">IFERROR(INDEX(Colaboradores!$E:$E,MATCH(E215,Colaboradores!$A:$A,0)),"")</f>
        <v>LUCAS FRANCO</v>
      </c>
      <c r="G215" s="6" t="s">
        <v>553</v>
      </c>
      <c r="H215" s="12" t="str">
        <f aca="false">IFERROR(INDEX(Doc_Catalogo!$B:$B,MATCH(G215,Doc_Catalogo!$A:$A,0)),"")</f>
        <v>Certificado da NR33 — Colaborador</v>
      </c>
      <c r="I215" s="6" t="s">
        <v>1001</v>
      </c>
      <c r="J215" s="6"/>
    </row>
    <row r="216" customFormat="false" ht="15" hidden="false" customHeight="false" outlineLevel="0" collapsed="false">
      <c r="A216" s="6" t="s">
        <v>1221</v>
      </c>
      <c r="B216" s="6" t="s">
        <v>454</v>
      </c>
      <c r="C216" s="12" t="str">
        <f aca="false">IFERROR(INDEX(Obras!$B:$B,MATCH(B216,Obras!$A:$A,0)),"")</f>
        <v>Hospital SC</v>
      </c>
      <c r="D216" s="6" t="s">
        <v>1009</v>
      </c>
      <c r="E216" s="6" t="s">
        <v>221</v>
      </c>
      <c r="F216" s="12" t="str">
        <f aca="false">IFERROR(INDEX(Colaboradores!$E:$E,MATCH(E216,Colaboradores!$A:$A,0)),"")</f>
        <v>SILVIO SCHURT</v>
      </c>
      <c r="G216" s="6" t="s">
        <v>565</v>
      </c>
      <c r="H216" s="12" t="str">
        <f aca="false">IFERROR(INDEX(Doc_Catalogo!$B:$B,MATCH(G216,Doc_Catalogo!$A:$A,0)),"")</f>
        <v>Certificado da NR35 — Colaborador</v>
      </c>
      <c r="I216" s="6" t="s">
        <v>1001</v>
      </c>
      <c r="J216" s="6"/>
    </row>
    <row r="217" customFormat="false" ht="15" hidden="false" customHeight="false" outlineLevel="0" collapsed="false">
      <c r="A217" s="6" t="s">
        <v>1222</v>
      </c>
      <c r="B217" s="6" t="s">
        <v>454</v>
      </c>
      <c r="C217" s="12" t="str">
        <f aca="false">IFERROR(INDEX(Obras!$B:$B,MATCH(B217,Obras!$A:$A,0)),"")</f>
        <v>Hospital SC</v>
      </c>
      <c r="D217" s="6" t="s">
        <v>1009</v>
      </c>
      <c r="E217" s="6" t="s">
        <v>241</v>
      </c>
      <c r="F217" s="12" t="str">
        <f aca="false">IFERROR(INDEX(Colaboradores!$E:$E,MATCH(E217,Colaboradores!$A:$A,0)),"")</f>
        <v>DANIEL SCHURT</v>
      </c>
      <c r="G217" s="6" t="s">
        <v>565</v>
      </c>
      <c r="H217" s="12" t="str">
        <f aca="false">IFERROR(INDEX(Doc_Catalogo!$B:$B,MATCH(G217,Doc_Catalogo!$A:$A,0)),"")</f>
        <v>Certificado da NR35 — Colaborador</v>
      </c>
      <c r="I217" s="6" t="s">
        <v>1001</v>
      </c>
      <c r="J217" s="6"/>
    </row>
    <row r="218" customFormat="false" ht="15" hidden="false" customHeight="false" outlineLevel="0" collapsed="false">
      <c r="A218" s="6" t="s">
        <v>1223</v>
      </c>
      <c r="B218" s="6" t="s">
        <v>454</v>
      </c>
      <c r="C218" s="12" t="str">
        <f aca="false">IFERROR(INDEX(Obras!$B:$B,MATCH(B218,Obras!$A:$A,0)),"")</f>
        <v>Hospital SC</v>
      </c>
      <c r="D218" s="6" t="s">
        <v>1009</v>
      </c>
      <c r="E218" s="6" t="s">
        <v>330</v>
      </c>
      <c r="F218" s="12" t="str">
        <f aca="false">IFERROR(INDEX(Colaboradores!$E:$E,MATCH(E218,Colaboradores!$A:$A,0)),"")</f>
        <v>GABRIEL SCHURT (proprietario)</v>
      </c>
      <c r="G218" s="6" t="s">
        <v>565</v>
      </c>
      <c r="H218" s="12" t="str">
        <f aca="false">IFERROR(INDEX(Doc_Catalogo!$B:$B,MATCH(G218,Doc_Catalogo!$A:$A,0)),"")</f>
        <v>Certificado da NR35 — Colaborador</v>
      </c>
      <c r="I218" s="6" t="s">
        <v>1001</v>
      </c>
      <c r="J218" s="6"/>
    </row>
    <row r="219" customFormat="false" ht="15" hidden="false" customHeight="false" outlineLevel="0" collapsed="false">
      <c r="A219" s="6" t="s">
        <v>1224</v>
      </c>
      <c r="B219" s="6" t="s">
        <v>454</v>
      </c>
      <c r="C219" s="12" t="str">
        <f aca="false">IFERROR(INDEX(Obras!$B:$B,MATCH(B219,Obras!$A:$A,0)),"")</f>
        <v>Hospital SC</v>
      </c>
      <c r="D219" s="6" t="s">
        <v>1009</v>
      </c>
      <c r="E219" s="6" t="s">
        <v>355</v>
      </c>
      <c r="F219" s="12" t="str">
        <f aca="false">IFERROR(INDEX(Colaboradores!$E:$E,MATCH(E219,Colaboradores!$A:$A,0)),"")</f>
        <v>LUCAS FRANCO</v>
      </c>
      <c r="G219" s="6" t="s">
        <v>565</v>
      </c>
      <c r="H219" s="12" t="str">
        <f aca="false">IFERROR(INDEX(Doc_Catalogo!$B:$B,MATCH(G219,Doc_Catalogo!$A:$A,0)),"")</f>
        <v>Certificado da NR35 — Colaborador</v>
      </c>
      <c r="I219" s="6" t="s">
        <v>1001</v>
      </c>
      <c r="J219" s="6"/>
    </row>
    <row r="220" customFormat="false" ht="15" hidden="false" customHeight="false" outlineLevel="0" collapsed="false">
      <c r="A220" s="6" t="s">
        <v>1225</v>
      </c>
      <c r="B220" s="6" t="s">
        <v>457</v>
      </c>
      <c r="C220" s="12" t="str">
        <f aca="false">IFERROR(INDEX(Obras!$B:$B,MATCH(B220,Obras!$A:$A,0)),"")</f>
        <v>Paraguaçu</v>
      </c>
      <c r="D220" s="6" t="s">
        <v>1009</v>
      </c>
      <c r="E220" s="6" t="s">
        <v>353</v>
      </c>
      <c r="F220" s="12" t="str">
        <f aca="false">IFERROR(INDEX(Colaboradores!$E:$E,MATCH(E220,Colaboradores!$A:$A,0)),"")</f>
        <v>MARCELO SANTOS</v>
      </c>
      <c r="G220" s="6" t="s">
        <v>577</v>
      </c>
      <c r="H220" s="12" t="str">
        <f aca="false">IFERROR(INDEX(Doc_Catalogo!$B:$B,MATCH(G220,Doc_Catalogo!$A:$A,0)),"")</f>
        <v>Contrato de Trabalho</v>
      </c>
      <c r="I220" s="6" t="s">
        <v>1001</v>
      </c>
      <c r="J220" s="6"/>
    </row>
    <row r="221" customFormat="false" ht="15" hidden="false" customHeight="false" outlineLevel="0" collapsed="false">
      <c r="A221" s="6" t="s">
        <v>1226</v>
      </c>
      <c r="B221" s="6" t="s">
        <v>457</v>
      </c>
      <c r="C221" s="12" t="str">
        <f aca="false">IFERROR(INDEX(Obras!$B:$B,MATCH(B221,Obras!$A:$A,0)),"")</f>
        <v>Paraguaçu</v>
      </c>
      <c r="D221" s="6" t="s">
        <v>1009</v>
      </c>
      <c r="E221" s="6" t="s">
        <v>353</v>
      </c>
      <c r="F221" s="12" t="str">
        <f aca="false">IFERROR(INDEX(Colaboradores!$E:$E,MATCH(E221,Colaboradores!$A:$A,0)),"")</f>
        <v>MARCELO SANTOS</v>
      </c>
      <c r="G221" s="6" t="s">
        <v>588</v>
      </c>
      <c r="H221" s="12" t="str">
        <f aca="false">IFERROR(INDEX(Doc_Catalogo!$B:$B,MATCH(G221,Doc_Catalogo!$A:$A,0)),"")</f>
        <v>Ficha de EPI Atualizada</v>
      </c>
      <c r="I221" s="6" t="s">
        <v>1001</v>
      </c>
      <c r="J221" s="6"/>
    </row>
    <row r="222" customFormat="false" ht="15" hidden="false" customHeight="false" outlineLevel="0" collapsed="false">
      <c r="A222" s="6" t="s">
        <v>1227</v>
      </c>
      <c r="B222" s="6" t="s">
        <v>457</v>
      </c>
      <c r="C222" s="12" t="str">
        <f aca="false">IFERROR(INDEX(Obras!$B:$B,MATCH(B222,Obras!$A:$A,0)),"")</f>
        <v>Paraguaçu</v>
      </c>
      <c r="D222" s="6" t="s">
        <v>1009</v>
      </c>
      <c r="E222" s="6" t="s">
        <v>353</v>
      </c>
      <c r="F222" s="12" t="str">
        <f aca="false">IFERROR(INDEX(Colaboradores!$E:$E,MATCH(E222,Colaboradores!$A:$A,0)),"")</f>
        <v>MARCELO SANTOS</v>
      </c>
      <c r="G222" s="6" t="s">
        <v>519</v>
      </c>
      <c r="H222" s="12" t="str">
        <f aca="false">IFERROR(INDEX(Doc_Catalogo!$B:$B,MATCH(G222,Doc_Catalogo!$A:$A,0)),"")</f>
        <v>Certificado da NR06 — Colaborador</v>
      </c>
      <c r="I222" s="6" t="s">
        <v>1001</v>
      </c>
      <c r="J222" s="6"/>
    </row>
    <row r="223" customFormat="false" ht="15" hidden="false" customHeight="false" outlineLevel="0" collapsed="false">
      <c r="A223" s="6" t="s">
        <v>1228</v>
      </c>
      <c r="B223" s="6" t="s">
        <v>457</v>
      </c>
      <c r="C223" s="12" t="str">
        <f aca="false">IFERROR(INDEX(Obras!$B:$B,MATCH(B223,Obras!$A:$A,0)),"")</f>
        <v>Paraguaçu</v>
      </c>
      <c r="D223" s="6" t="s">
        <v>1009</v>
      </c>
      <c r="E223" s="6" t="s">
        <v>353</v>
      </c>
      <c r="F223" s="12" t="str">
        <f aca="false">IFERROR(INDEX(Colaboradores!$E:$E,MATCH(E223,Colaboradores!$A:$A,0)),"")</f>
        <v>MARCELO SANTOS</v>
      </c>
      <c r="G223" s="6" t="s">
        <v>524</v>
      </c>
      <c r="H223" s="12" t="str">
        <f aca="false">IFERROR(INDEX(Doc_Catalogo!$B:$B,MATCH(G223,Doc_Catalogo!$A:$A,0)),"")</f>
        <v>Certificado da NR10 — Colaborador</v>
      </c>
      <c r="I223" s="6" t="s">
        <v>1001</v>
      </c>
      <c r="J223" s="6"/>
    </row>
    <row r="224" customFormat="false" ht="15" hidden="false" customHeight="false" outlineLevel="0" collapsed="false">
      <c r="A224" s="6" t="s">
        <v>1229</v>
      </c>
      <c r="B224" s="6" t="s">
        <v>457</v>
      </c>
      <c r="C224" s="12" t="str">
        <f aca="false">IFERROR(INDEX(Obras!$B:$B,MATCH(B224,Obras!$A:$A,0)),"")</f>
        <v>Paraguaçu</v>
      </c>
      <c r="D224" s="6" t="s">
        <v>1009</v>
      </c>
      <c r="E224" s="6" t="s">
        <v>353</v>
      </c>
      <c r="F224" s="12" t="str">
        <f aca="false">IFERROR(INDEX(Colaboradores!$E:$E,MATCH(E224,Colaboradores!$A:$A,0)),"")</f>
        <v>MARCELO SANTOS</v>
      </c>
      <c r="G224" s="6" t="s">
        <v>537</v>
      </c>
      <c r="H224" s="12" t="str">
        <f aca="false">IFERROR(INDEX(Doc_Catalogo!$B:$B,MATCH(G224,Doc_Catalogo!$A:$A,0)),"")</f>
        <v>Certificado da NR12 — Colaborador</v>
      </c>
      <c r="I224" s="6" t="s">
        <v>1001</v>
      </c>
      <c r="J224" s="6"/>
    </row>
    <row r="225" customFormat="false" ht="15" hidden="false" customHeight="false" outlineLevel="0" collapsed="false">
      <c r="A225" s="6" t="s">
        <v>1230</v>
      </c>
      <c r="B225" s="6" t="s">
        <v>457</v>
      </c>
      <c r="C225" s="12" t="str">
        <f aca="false">IFERROR(INDEX(Obras!$B:$B,MATCH(B225,Obras!$A:$A,0)),"")</f>
        <v>Paraguaçu</v>
      </c>
      <c r="D225" s="6" t="s">
        <v>1009</v>
      </c>
      <c r="E225" s="6" t="s">
        <v>353</v>
      </c>
      <c r="F225" s="12" t="str">
        <f aca="false">IFERROR(INDEX(Colaboradores!$E:$E,MATCH(E225,Colaboradores!$A:$A,0)),"")</f>
        <v>MARCELO SANTOS</v>
      </c>
      <c r="G225" s="6" t="s">
        <v>549</v>
      </c>
      <c r="H225" s="12" t="str">
        <f aca="false">IFERROR(INDEX(Doc_Catalogo!$B:$B,MATCH(G225,Doc_Catalogo!$A:$A,0)),"")</f>
        <v>Certificado da NR18 — Colaborador</v>
      </c>
      <c r="I225" s="6" t="s">
        <v>1001</v>
      </c>
      <c r="J225" s="6"/>
    </row>
    <row r="226" customFormat="false" ht="15" hidden="false" customHeight="false" outlineLevel="0" collapsed="false">
      <c r="A226" s="6" t="s">
        <v>1231</v>
      </c>
      <c r="B226" s="6" t="s">
        <v>457</v>
      </c>
      <c r="C226" s="12" t="str">
        <f aca="false">IFERROR(INDEX(Obras!$B:$B,MATCH(B226,Obras!$A:$A,0)),"")</f>
        <v>Paraguaçu</v>
      </c>
      <c r="D226" s="6" t="s">
        <v>1009</v>
      </c>
      <c r="E226" s="6" t="s">
        <v>353</v>
      </c>
      <c r="F226" s="12" t="str">
        <f aca="false">IFERROR(INDEX(Colaboradores!$E:$E,MATCH(E226,Colaboradores!$A:$A,0)),"")</f>
        <v>MARCELO SANTOS</v>
      </c>
      <c r="G226" s="6" t="s">
        <v>561</v>
      </c>
      <c r="H226" s="12" t="str">
        <f aca="false">IFERROR(INDEX(Doc_Catalogo!$B:$B,MATCH(G226,Doc_Catalogo!$A:$A,0)),"")</f>
        <v>Certificado da NR34 — Colaborador</v>
      </c>
      <c r="I226" s="6" t="s">
        <v>1001</v>
      </c>
      <c r="J226" s="6"/>
    </row>
    <row r="227" customFormat="false" ht="15" hidden="false" customHeight="false" outlineLevel="0" collapsed="false">
      <c r="A227" s="6" t="s">
        <v>1232</v>
      </c>
      <c r="B227" s="6" t="s">
        <v>457</v>
      </c>
      <c r="C227" s="12" t="str">
        <f aca="false">IFERROR(INDEX(Obras!$B:$B,MATCH(B227,Obras!$A:$A,0)),"")</f>
        <v>Paraguaçu</v>
      </c>
      <c r="D227" s="6" t="s">
        <v>1009</v>
      </c>
      <c r="E227" s="6" t="s">
        <v>353</v>
      </c>
      <c r="F227" s="12" t="str">
        <f aca="false">IFERROR(INDEX(Colaboradores!$E:$E,MATCH(E227,Colaboradores!$A:$A,0)),"")</f>
        <v>MARCELO SANTOS</v>
      </c>
      <c r="G227" s="6" t="s">
        <v>565</v>
      </c>
      <c r="H227" s="12" t="str">
        <f aca="false">IFERROR(INDEX(Doc_Catalogo!$B:$B,MATCH(G227,Doc_Catalogo!$A:$A,0)),"")</f>
        <v>Certificado da NR35 — Colaborador</v>
      </c>
      <c r="I227" s="6" t="s">
        <v>1001</v>
      </c>
      <c r="J227" s="6"/>
    </row>
    <row r="228" customFormat="false" ht="15" hidden="false" customHeight="false" outlineLevel="0" collapsed="false">
      <c r="A228" s="6" t="s">
        <v>1233</v>
      </c>
      <c r="B228" s="6" t="s">
        <v>457</v>
      </c>
      <c r="C228" s="12" t="str">
        <f aca="false">IFERROR(INDEX(Obras!$B:$B,MATCH(B228,Obras!$A:$A,0)),"")</f>
        <v>Paraguaçu</v>
      </c>
      <c r="D228" s="6" t="s">
        <v>1009</v>
      </c>
      <c r="E228" s="6" t="s">
        <v>347</v>
      </c>
      <c r="F228" s="12" t="str">
        <f aca="false">IFERROR(INDEX(Colaboradores!$E:$E,MATCH(E228,Colaboradores!$A:$A,0)),"")</f>
        <v>DENILSON ABREU</v>
      </c>
      <c r="G228" s="6" t="s">
        <v>519</v>
      </c>
      <c r="H228" s="12" t="str">
        <f aca="false">IFERROR(INDEX(Doc_Catalogo!$B:$B,MATCH(G228,Doc_Catalogo!$A:$A,0)),"")</f>
        <v>Certificado da NR06 — Colaborador</v>
      </c>
      <c r="I228" s="6" t="s">
        <v>1001</v>
      </c>
      <c r="J228" s="6"/>
    </row>
    <row r="229" customFormat="false" ht="15" hidden="false" customHeight="false" outlineLevel="0" collapsed="false">
      <c r="A229" s="6" t="s">
        <v>1234</v>
      </c>
      <c r="B229" s="6" t="s">
        <v>457</v>
      </c>
      <c r="C229" s="12" t="str">
        <f aca="false">IFERROR(INDEX(Obras!$B:$B,MATCH(B229,Obras!$A:$A,0)),"")</f>
        <v>Paraguaçu</v>
      </c>
      <c r="D229" s="6" t="s">
        <v>1009</v>
      </c>
      <c r="E229" s="6" t="s">
        <v>347</v>
      </c>
      <c r="F229" s="12" t="str">
        <f aca="false">IFERROR(INDEX(Colaboradores!$E:$E,MATCH(E229,Colaboradores!$A:$A,0)),"")</f>
        <v>DENILSON ABREU</v>
      </c>
      <c r="G229" s="6" t="s">
        <v>524</v>
      </c>
      <c r="H229" s="12" t="str">
        <f aca="false">IFERROR(INDEX(Doc_Catalogo!$B:$B,MATCH(G229,Doc_Catalogo!$A:$A,0)),"")</f>
        <v>Certificado da NR10 — Colaborador</v>
      </c>
      <c r="I229" s="6" t="s">
        <v>1001</v>
      </c>
      <c r="J229" s="6"/>
    </row>
    <row r="230" customFormat="false" ht="15" hidden="false" customHeight="false" outlineLevel="0" collapsed="false">
      <c r="A230" s="6" t="s">
        <v>1235</v>
      </c>
      <c r="B230" s="6" t="s">
        <v>457</v>
      </c>
      <c r="C230" s="12" t="str">
        <f aca="false">IFERROR(INDEX(Obras!$B:$B,MATCH(B230,Obras!$A:$A,0)),"")</f>
        <v>Paraguaçu</v>
      </c>
      <c r="D230" s="6" t="s">
        <v>1009</v>
      </c>
      <c r="E230" s="6" t="s">
        <v>347</v>
      </c>
      <c r="F230" s="12" t="str">
        <f aca="false">IFERROR(INDEX(Colaboradores!$E:$E,MATCH(E230,Colaboradores!$A:$A,0)),"")</f>
        <v>DENILSON ABREU</v>
      </c>
      <c r="G230" s="6" t="s">
        <v>537</v>
      </c>
      <c r="H230" s="12" t="str">
        <f aca="false">IFERROR(INDEX(Doc_Catalogo!$B:$B,MATCH(G230,Doc_Catalogo!$A:$A,0)),"")</f>
        <v>Certificado da NR12 — Colaborador</v>
      </c>
      <c r="I230" s="6" t="s">
        <v>1001</v>
      </c>
      <c r="J230" s="6"/>
    </row>
    <row r="231" customFormat="false" ht="15" hidden="false" customHeight="false" outlineLevel="0" collapsed="false">
      <c r="A231" s="6" t="s">
        <v>1236</v>
      </c>
      <c r="B231" s="6" t="s">
        <v>457</v>
      </c>
      <c r="C231" s="12" t="str">
        <f aca="false">IFERROR(INDEX(Obras!$B:$B,MATCH(B231,Obras!$A:$A,0)),"")</f>
        <v>Paraguaçu</v>
      </c>
      <c r="D231" s="6" t="s">
        <v>1009</v>
      </c>
      <c r="E231" s="6" t="s">
        <v>347</v>
      </c>
      <c r="F231" s="12" t="str">
        <f aca="false">IFERROR(INDEX(Colaboradores!$E:$E,MATCH(E231,Colaboradores!$A:$A,0)),"")</f>
        <v>DENILSON ABREU</v>
      </c>
      <c r="G231" s="6" t="s">
        <v>549</v>
      </c>
      <c r="H231" s="12" t="str">
        <f aca="false">IFERROR(INDEX(Doc_Catalogo!$B:$B,MATCH(G231,Doc_Catalogo!$A:$A,0)),"")</f>
        <v>Certificado da NR18 — Colaborador</v>
      </c>
      <c r="I231" s="6" t="s">
        <v>1001</v>
      </c>
      <c r="J231" s="6"/>
    </row>
    <row r="232" customFormat="false" ht="15" hidden="false" customHeight="false" outlineLevel="0" collapsed="false">
      <c r="A232" s="6" t="s">
        <v>1237</v>
      </c>
      <c r="B232" s="6" t="s">
        <v>457</v>
      </c>
      <c r="C232" s="12" t="str">
        <f aca="false">IFERROR(INDEX(Obras!$B:$B,MATCH(B232,Obras!$A:$A,0)),"")</f>
        <v>Paraguaçu</v>
      </c>
      <c r="D232" s="6" t="s">
        <v>1009</v>
      </c>
      <c r="E232" s="6" t="s">
        <v>347</v>
      </c>
      <c r="F232" s="12" t="str">
        <f aca="false">IFERROR(INDEX(Colaboradores!$E:$E,MATCH(E232,Colaboradores!$A:$A,0)),"")</f>
        <v>DENILSON ABREU</v>
      </c>
      <c r="G232" s="6" t="s">
        <v>561</v>
      </c>
      <c r="H232" s="12" t="str">
        <f aca="false">IFERROR(INDEX(Doc_Catalogo!$B:$B,MATCH(G232,Doc_Catalogo!$A:$A,0)),"")</f>
        <v>Certificado da NR34 — Colaborador</v>
      </c>
      <c r="I232" s="6" t="s">
        <v>1001</v>
      </c>
      <c r="J232" s="6"/>
    </row>
    <row r="233" customFormat="false" ht="15" hidden="false" customHeight="false" outlineLevel="0" collapsed="false">
      <c r="A233" s="6" t="s">
        <v>1238</v>
      </c>
      <c r="B233" s="6" t="s">
        <v>457</v>
      </c>
      <c r="C233" s="12" t="str">
        <f aca="false">IFERROR(INDEX(Obras!$B:$B,MATCH(B233,Obras!$A:$A,0)),"")</f>
        <v>Paraguaçu</v>
      </c>
      <c r="D233" s="6" t="s">
        <v>1009</v>
      </c>
      <c r="E233" s="6" t="s">
        <v>347</v>
      </c>
      <c r="F233" s="12" t="str">
        <f aca="false">IFERROR(INDEX(Colaboradores!$E:$E,MATCH(E233,Colaboradores!$A:$A,0)),"")</f>
        <v>DENILSON ABREU</v>
      </c>
      <c r="G233" s="6" t="s">
        <v>565</v>
      </c>
      <c r="H233" s="12" t="str">
        <f aca="false">IFERROR(INDEX(Doc_Catalogo!$B:$B,MATCH(G233,Doc_Catalogo!$A:$A,0)),"")</f>
        <v>Certificado da NR35 — Colaborador</v>
      </c>
      <c r="I233" s="6" t="s">
        <v>1001</v>
      </c>
      <c r="J233" s="6"/>
    </row>
    <row r="234" customFormat="false" ht="15" hidden="false" customHeight="false" outlineLevel="0" collapsed="false">
      <c r="A234" s="6" t="s">
        <v>1239</v>
      </c>
      <c r="B234" s="6" t="s">
        <v>457</v>
      </c>
      <c r="C234" s="12" t="str">
        <f aca="false">IFERROR(INDEX(Obras!$B:$B,MATCH(B234,Obras!$A:$A,0)),"")</f>
        <v>Paraguaçu</v>
      </c>
      <c r="D234" s="6" t="s">
        <v>1009</v>
      </c>
      <c r="E234" s="6" t="s">
        <v>344</v>
      </c>
      <c r="F234" s="12" t="str">
        <f aca="false">IFERROR(INDEX(Colaboradores!$E:$E,MATCH(E234,Colaboradores!$A:$A,0)),"")</f>
        <v>PAULO SILVA</v>
      </c>
      <c r="G234" s="6" t="s">
        <v>577</v>
      </c>
      <c r="H234" s="12" t="str">
        <f aca="false">IFERROR(INDEX(Doc_Catalogo!$B:$B,MATCH(G234,Doc_Catalogo!$A:$A,0)),"")</f>
        <v>Contrato de Trabalho</v>
      </c>
      <c r="I234" s="6" t="s">
        <v>1001</v>
      </c>
      <c r="J234" s="6"/>
    </row>
    <row r="235" customFormat="false" ht="15" hidden="false" customHeight="false" outlineLevel="0" collapsed="false">
      <c r="A235" s="6" t="s">
        <v>1240</v>
      </c>
      <c r="B235" s="6" t="s">
        <v>457</v>
      </c>
      <c r="C235" s="12" t="str">
        <f aca="false">IFERROR(INDEX(Obras!$B:$B,MATCH(B235,Obras!$A:$A,0)),"")</f>
        <v>Paraguaçu</v>
      </c>
      <c r="D235" s="6" t="s">
        <v>1009</v>
      </c>
      <c r="E235" s="6" t="s">
        <v>344</v>
      </c>
      <c r="F235" s="12" t="str">
        <f aca="false">IFERROR(INDEX(Colaboradores!$E:$E,MATCH(E235,Colaboradores!$A:$A,0)),"")</f>
        <v>PAULO SILVA</v>
      </c>
      <c r="G235" s="6" t="s">
        <v>501</v>
      </c>
      <c r="H235" s="12" t="str">
        <f aca="false">IFERROR(INDEX(Doc_Catalogo!$B:$B,MATCH(G235,Doc_Catalogo!$A:$A,0)),"")</f>
        <v>ASO</v>
      </c>
      <c r="I235" s="6" t="s">
        <v>1001</v>
      </c>
      <c r="J235" s="6"/>
    </row>
    <row r="236" customFormat="false" ht="15" hidden="false" customHeight="false" outlineLevel="0" collapsed="false">
      <c r="A236" s="6" t="s">
        <v>1241</v>
      </c>
      <c r="B236" s="6" t="s">
        <v>457</v>
      </c>
      <c r="C236" s="12" t="str">
        <f aca="false">IFERROR(INDEX(Obras!$B:$B,MATCH(B236,Obras!$A:$A,0)),"")</f>
        <v>Paraguaçu</v>
      </c>
      <c r="D236" s="6" t="s">
        <v>1009</v>
      </c>
      <c r="E236" s="6" t="s">
        <v>344</v>
      </c>
      <c r="F236" s="12" t="str">
        <f aca="false">IFERROR(INDEX(Colaboradores!$E:$E,MATCH(E236,Colaboradores!$A:$A,0)),"")</f>
        <v>PAULO SILVA</v>
      </c>
      <c r="G236" s="6" t="s">
        <v>588</v>
      </c>
      <c r="H236" s="12" t="str">
        <f aca="false">IFERROR(INDEX(Doc_Catalogo!$B:$B,MATCH(G236,Doc_Catalogo!$A:$A,0)),"")</f>
        <v>Ficha de EPI Atualizada</v>
      </c>
      <c r="I236" s="6" t="s">
        <v>1001</v>
      </c>
      <c r="J236" s="6"/>
    </row>
    <row r="237" customFormat="false" ht="15" hidden="false" customHeight="false" outlineLevel="0" collapsed="false">
      <c r="A237" s="6" t="s">
        <v>1242</v>
      </c>
      <c r="B237" s="6" t="s">
        <v>457</v>
      </c>
      <c r="C237" s="12" t="str">
        <f aca="false">IFERROR(INDEX(Obras!$B:$B,MATCH(B237,Obras!$A:$A,0)),"")</f>
        <v>Paraguaçu</v>
      </c>
      <c r="D237" s="6" t="s">
        <v>1009</v>
      </c>
      <c r="E237" s="6" t="s">
        <v>344</v>
      </c>
      <c r="F237" s="12" t="str">
        <f aca="false">IFERROR(INDEX(Colaboradores!$E:$E,MATCH(E237,Colaboradores!$A:$A,0)),"")</f>
        <v>PAULO SILVA</v>
      </c>
      <c r="G237" s="6" t="s">
        <v>586</v>
      </c>
      <c r="H237" s="12" t="str">
        <f aca="false">IFERROR(INDEX(Doc_Catalogo!$B:$B,MATCH(G237,Doc_Catalogo!$A:$A,0)),"")</f>
        <v>Ordem de Servico</v>
      </c>
      <c r="I237" s="6" t="s">
        <v>1001</v>
      </c>
      <c r="J237" s="6"/>
    </row>
    <row r="238" customFormat="false" ht="15" hidden="false" customHeight="false" outlineLevel="0" collapsed="false">
      <c r="A238" s="6" t="s">
        <v>1243</v>
      </c>
      <c r="B238" s="6" t="s">
        <v>457</v>
      </c>
      <c r="C238" s="12" t="str">
        <f aca="false">IFERROR(INDEX(Obras!$B:$B,MATCH(B238,Obras!$A:$A,0)),"")</f>
        <v>Paraguaçu</v>
      </c>
      <c r="D238" s="6" t="s">
        <v>1009</v>
      </c>
      <c r="E238" s="6" t="s">
        <v>344</v>
      </c>
      <c r="F238" s="12" t="str">
        <f aca="false">IFERROR(INDEX(Colaboradores!$E:$E,MATCH(E238,Colaboradores!$A:$A,0)),"")</f>
        <v>PAULO SILVA</v>
      </c>
      <c r="G238" s="6" t="s">
        <v>519</v>
      </c>
      <c r="H238" s="12" t="str">
        <f aca="false">IFERROR(INDEX(Doc_Catalogo!$B:$B,MATCH(G238,Doc_Catalogo!$A:$A,0)),"")</f>
        <v>Certificado da NR06 — Colaborador</v>
      </c>
      <c r="I238" s="6" t="s">
        <v>1001</v>
      </c>
      <c r="J238" s="6"/>
    </row>
    <row r="239" customFormat="false" ht="15" hidden="false" customHeight="false" outlineLevel="0" collapsed="false">
      <c r="A239" s="6" t="s">
        <v>1244</v>
      </c>
      <c r="B239" s="6" t="s">
        <v>457</v>
      </c>
      <c r="C239" s="12" t="str">
        <f aca="false">IFERROR(INDEX(Obras!$B:$B,MATCH(B239,Obras!$A:$A,0)),"")</f>
        <v>Paraguaçu</v>
      </c>
      <c r="D239" s="6" t="s">
        <v>1009</v>
      </c>
      <c r="E239" s="6" t="s">
        <v>344</v>
      </c>
      <c r="F239" s="12" t="str">
        <f aca="false">IFERROR(INDEX(Colaboradores!$E:$E,MATCH(E239,Colaboradores!$A:$A,0)),"")</f>
        <v>PAULO SILVA</v>
      </c>
      <c r="G239" s="6" t="s">
        <v>524</v>
      </c>
      <c r="H239" s="12" t="str">
        <f aca="false">IFERROR(INDEX(Doc_Catalogo!$B:$B,MATCH(G239,Doc_Catalogo!$A:$A,0)),"")</f>
        <v>Certificado da NR10 — Colaborador</v>
      </c>
      <c r="I239" s="6" t="s">
        <v>1001</v>
      </c>
      <c r="J239" s="6"/>
    </row>
    <row r="240" customFormat="false" ht="15" hidden="false" customHeight="false" outlineLevel="0" collapsed="false">
      <c r="A240" s="6" t="s">
        <v>1245</v>
      </c>
      <c r="B240" s="6" t="s">
        <v>457</v>
      </c>
      <c r="C240" s="12" t="str">
        <f aca="false">IFERROR(INDEX(Obras!$B:$B,MATCH(B240,Obras!$A:$A,0)),"")</f>
        <v>Paraguaçu</v>
      </c>
      <c r="D240" s="6" t="s">
        <v>1009</v>
      </c>
      <c r="E240" s="6" t="s">
        <v>344</v>
      </c>
      <c r="F240" s="12" t="str">
        <f aca="false">IFERROR(INDEX(Colaboradores!$E:$E,MATCH(E240,Colaboradores!$A:$A,0)),"")</f>
        <v>PAULO SILVA</v>
      </c>
      <c r="G240" s="6" t="s">
        <v>537</v>
      </c>
      <c r="H240" s="12" t="str">
        <f aca="false">IFERROR(INDEX(Doc_Catalogo!$B:$B,MATCH(G240,Doc_Catalogo!$A:$A,0)),"")</f>
        <v>Certificado da NR12 — Colaborador</v>
      </c>
      <c r="I240" s="6" t="s">
        <v>1001</v>
      </c>
      <c r="J240" s="6"/>
    </row>
    <row r="241" customFormat="false" ht="15" hidden="false" customHeight="false" outlineLevel="0" collapsed="false">
      <c r="A241" s="6" t="s">
        <v>1246</v>
      </c>
      <c r="B241" s="6" t="s">
        <v>457</v>
      </c>
      <c r="C241" s="12" t="str">
        <f aca="false">IFERROR(INDEX(Obras!$B:$B,MATCH(B241,Obras!$A:$A,0)),"")</f>
        <v>Paraguaçu</v>
      </c>
      <c r="D241" s="6" t="s">
        <v>1009</v>
      </c>
      <c r="E241" s="6" t="s">
        <v>344</v>
      </c>
      <c r="F241" s="12" t="str">
        <f aca="false">IFERROR(INDEX(Colaboradores!$E:$E,MATCH(E241,Colaboradores!$A:$A,0)),"")</f>
        <v>PAULO SILVA</v>
      </c>
      <c r="G241" s="6" t="s">
        <v>549</v>
      </c>
      <c r="H241" s="12" t="str">
        <f aca="false">IFERROR(INDEX(Doc_Catalogo!$B:$B,MATCH(G241,Doc_Catalogo!$A:$A,0)),"")</f>
        <v>Certificado da NR18 — Colaborador</v>
      </c>
      <c r="I241" s="6" t="s">
        <v>1001</v>
      </c>
      <c r="J241" s="6"/>
    </row>
    <row r="242" customFormat="false" ht="15" hidden="false" customHeight="false" outlineLevel="0" collapsed="false">
      <c r="A242" s="6" t="s">
        <v>1247</v>
      </c>
      <c r="B242" s="6" t="s">
        <v>457</v>
      </c>
      <c r="C242" s="12" t="str">
        <f aca="false">IFERROR(INDEX(Obras!$B:$B,MATCH(B242,Obras!$A:$A,0)),"")</f>
        <v>Paraguaçu</v>
      </c>
      <c r="D242" s="6" t="s">
        <v>1009</v>
      </c>
      <c r="E242" s="6" t="s">
        <v>344</v>
      </c>
      <c r="F242" s="12" t="str">
        <f aca="false">IFERROR(INDEX(Colaboradores!$E:$E,MATCH(E242,Colaboradores!$A:$A,0)),"")</f>
        <v>PAULO SILVA</v>
      </c>
      <c r="G242" s="6" t="s">
        <v>561</v>
      </c>
      <c r="H242" s="12" t="str">
        <f aca="false">IFERROR(INDEX(Doc_Catalogo!$B:$B,MATCH(G242,Doc_Catalogo!$A:$A,0)),"")</f>
        <v>Certificado da NR34 — Colaborador</v>
      </c>
      <c r="I242" s="6" t="s">
        <v>1001</v>
      </c>
      <c r="J242" s="6"/>
    </row>
    <row r="243" customFormat="false" ht="15" hidden="false" customHeight="false" outlineLevel="0" collapsed="false">
      <c r="A243" s="6" t="s">
        <v>1248</v>
      </c>
      <c r="B243" s="6" t="s">
        <v>457</v>
      </c>
      <c r="C243" s="12" t="str">
        <f aca="false">IFERROR(INDEX(Obras!$B:$B,MATCH(B243,Obras!$A:$A,0)),"")</f>
        <v>Paraguaçu</v>
      </c>
      <c r="D243" s="6" t="s">
        <v>1009</v>
      </c>
      <c r="E243" s="6" t="s">
        <v>344</v>
      </c>
      <c r="F243" s="12" t="str">
        <f aca="false">IFERROR(INDEX(Colaboradores!$E:$E,MATCH(E243,Colaboradores!$A:$A,0)),"")</f>
        <v>PAULO SILVA</v>
      </c>
      <c r="G243" s="6" t="s">
        <v>565</v>
      </c>
      <c r="H243" s="12" t="str">
        <f aca="false">IFERROR(INDEX(Doc_Catalogo!$B:$B,MATCH(G243,Doc_Catalogo!$A:$A,0)),"")</f>
        <v>Certificado da NR35 — Colaborador</v>
      </c>
      <c r="I243" s="6" t="s">
        <v>1001</v>
      </c>
      <c r="J243" s="6"/>
    </row>
    <row r="244" customFormat="false" ht="15" hidden="false" customHeight="false" outlineLevel="0" collapsed="false">
      <c r="A244" s="6" t="s">
        <v>1249</v>
      </c>
      <c r="B244" s="6" t="s">
        <v>457</v>
      </c>
      <c r="C244" s="12" t="str">
        <f aca="false">IFERROR(INDEX(Obras!$B:$B,MATCH(B244,Obras!$A:$A,0)),"")</f>
        <v>Paraguaçu</v>
      </c>
      <c r="D244" s="6" t="s">
        <v>1009</v>
      </c>
      <c r="E244" s="6" t="s">
        <v>344</v>
      </c>
      <c r="F244" s="12" t="str">
        <f aca="false">IFERROR(INDEX(Colaboradores!$E:$E,MATCH(E244,Colaboradores!$A:$A,0)),"")</f>
        <v>PAULO SILVA</v>
      </c>
      <c r="G244" s="6" t="s">
        <v>626</v>
      </c>
      <c r="H244" s="12" t="str">
        <f aca="false">IFERROR(INDEX(Doc_Catalogo!$B:$B,MATCH(G244,Doc_Catalogo!$A:$A,0)),"")</f>
        <v>Curso de soldador para atividades com solda</v>
      </c>
      <c r="I244" s="6" t="s">
        <v>1001</v>
      </c>
      <c r="J244" s="6"/>
    </row>
    <row r="245" customFormat="false" ht="15" hidden="false" customHeight="false" outlineLevel="0" collapsed="false">
      <c r="A245" s="6" t="s">
        <v>1250</v>
      </c>
      <c r="B245" s="6" t="s">
        <v>457</v>
      </c>
      <c r="C245" s="12" t="str">
        <f aca="false">IFERROR(INDEX(Obras!$B:$B,MATCH(B245,Obras!$A:$A,0)),"")</f>
        <v>Paraguaçu</v>
      </c>
      <c r="D245" s="6" t="s">
        <v>1009</v>
      </c>
      <c r="E245" s="6" t="s">
        <v>350</v>
      </c>
      <c r="F245" s="12" t="str">
        <f aca="false">IFERROR(INDEX(Colaboradores!$E:$E,MATCH(E245,Colaboradores!$A:$A,0)),"")</f>
        <v>JOSUE SANTOS</v>
      </c>
      <c r="G245" s="6" t="s">
        <v>577</v>
      </c>
      <c r="H245" s="12" t="str">
        <f aca="false">IFERROR(INDEX(Doc_Catalogo!$B:$B,MATCH(G245,Doc_Catalogo!$A:$A,0)),"")</f>
        <v>Contrato de Trabalho</v>
      </c>
      <c r="I245" s="6" t="s">
        <v>1001</v>
      </c>
      <c r="J245" s="6"/>
    </row>
    <row r="246" customFormat="false" ht="15" hidden="false" customHeight="false" outlineLevel="0" collapsed="false">
      <c r="A246" s="6" t="s">
        <v>1251</v>
      </c>
      <c r="B246" s="6" t="s">
        <v>457</v>
      </c>
      <c r="C246" s="12" t="str">
        <f aca="false">IFERROR(INDEX(Obras!$B:$B,MATCH(B246,Obras!$A:$A,0)),"")</f>
        <v>Paraguaçu</v>
      </c>
      <c r="D246" s="6" t="s">
        <v>1009</v>
      </c>
      <c r="E246" s="6" t="s">
        <v>350</v>
      </c>
      <c r="F246" s="12" t="str">
        <f aca="false">IFERROR(INDEX(Colaboradores!$E:$E,MATCH(E246,Colaboradores!$A:$A,0)),"")</f>
        <v>JOSUE SANTOS</v>
      </c>
      <c r="G246" s="6" t="s">
        <v>588</v>
      </c>
      <c r="H246" s="12" t="str">
        <f aca="false">IFERROR(INDEX(Doc_Catalogo!$B:$B,MATCH(G246,Doc_Catalogo!$A:$A,0)),"")</f>
        <v>Ficha de EPI Atualizada</v>
      </c>
      <c r="I246" s="6" t="s">
        <v>1001</v>
      </c>
      <c r="J246" s="6"/>
    </row>
    <row r="247" customFormat="false" ht="15" hidden="false" customHeight="false" outlineLevel="0" collapsed="false">
      <c r="A247" s="6" t="s">
        <v>1252</v>
      </c>
      <c r="B247" s="6" t="s">
        <v>457</v>
      </c>
      <c r="C247" s="12" t="str">
        <f aca="false">IFERROR(INDEX(Obras!$B:$B,MATCH(B247,Obras!$A:$A,0)),"")</f>
        <v>Paraguaçu</v>
      </c>
      <c r="D247" s="6" t="s">
        <v>1009</v>
      </c>
      <c r="E247" s="6" t="s">
        <v>350</v>
      </c>
      <c r="F247" s="12" t="str">
        <f aca="false">IFERROR(INDEX(Colaboradores!$E:$E,MATCH(E247,Colaboradores!$A:$A,0)),"")</f>
        <v>JOSUE SANTOS</v>
      </c>
      <c r="G247" s="6" t="s">
        <v>519</v>
      </c>
      <c r="H247" s="12" t="str">
        <f aca="false">IFERROR(INDEX(Doc_Catalogo!$B:$B,MATCH(G247,Doc_Catalogo!$A:$A,0)),"")</f>
        <v>Certificado da NR06 — Colaborador</v>
      </c>
      <c r="I247" s="6" t="s">
        <v>1001</v>
      </c>
      <c r="J247" s="6"/>
    </row>
    <row r="248" customFormat="false" ht="15" hidden="false" customHeight="false" outlineLevel="0" collapsed="false">
      <c r="A248" s="6" t="s">
        <v>1253</v>
      </c>
      <c r="B248" s="6" t="s">
        <v>457</v>
      </c>
      <c r="C248" s="12" t="str">
        <f aca="false">IFERROR(INDEX(Obras!$B:$B,MATCH(B248,Obras!$A:$A,0)),"")</f>
        <v>Paraguaçu</v>
      </c>
      <c r="D248" s="6" t="s">
        <v>1009</v>
      </c>
      <c r="E248" s="6" t="s">
        <v>350</v>
      </c>
      <c r="F248" s="12" t="str">
        <f aca="false">IFERROR(INDEX(Colaboradores!$E:$E,MATCH(E248,Colaboradores!$A:$A,0)),"")</f>
        <v>JOSUE SANTOS</v>
      </c>
      <c r="G248" s="6" t="s">
        <v>524</v>
      </c>
      <c r="H248" s="12" t="str">
        <f aca="false">IFERROR(INDEX(Doc_Catalogo!$B:$B,MATCH(G248,Doc_Catalogo!$A:$A,0)),"")</f>
        <v>Certificado da NR10 — Colaborador</v>
      </c>
      <c r="I248" s="6" t="s">
        <v>1001</v>
      </c>
      <c r="J248" s="6"/>
    </row>
    <row r="249" customFormat="false" ht="15" hidden="false" customHeight="false" outlineLevel="0" collapsed="false">
      <c r="A249" s="6" t="s">
        <v>1254</v>
      </c>
      <c r="B249" s="6" t="s">
        <v>457</v>
      </c>
      <c r="C249" s="12" t="str">
        <f aca="false">IFERROR(INDEX(Obras!$B:$B,MATCH(B249,Obras!$A:$A,0)),"")</f>
        <v>Paraguaçu</v>
      </c>
      <c r="D249" s="6" t="s">
        <v>1009</v>
      </c>
      <c r="E249" s="6" t="s">
        <v>350</v>
      </c>
      <c r="F249" s="12" t="str">
        <f aca="false">IFERROR(INDEX(Colaboradores!$E:$E,MATCH(E249,Colaboradores!$A:$A,0)),"")</f>
        <v>JOSUE SANTOS</v>
      </c>
      <c r="G249" s="6" t="s">
        <v>537</v>
      </c>
      <c r="H249" s="12" t="str">
        <f aca="false">IFERROR(INDEX(Doc_Catalogo!$B:$B,MATCH(G249,Doc_Catalogo!$A:$A,0)),"")</f>
        <v>Certificado da NR12 — Colaborador</v>
      </c>
      <c r="I249" s="6" t="s">
        <v>1001</v>
      </c>
      <c r="J249" s="6"/>
    </row>
    <row r="250" customFormat="false" ht="15" hidden="false" customHeight="false" outlineLevel="0" collapsed="false">
      <c r="A250" s="6" t="s">
        <v>1255</v>
      </c>
      <c r="B250" s="6" t="s">
        <v>457</v>
      </c>
      <c r="C250" s="12" t="str">
        <f aca="false">IFERROR(INDEX(Obras!$B:$B,MATCH(B250,Obras!$A:$A,0)),"")</f>
        <v>Paraguaçu</v>
      </c>
      <c r="D250" s="6" t="s">
        <v>1009</v>
      </c>
      <c r="E250" s="6" t="s">
        <v>350</v>
      </c>
      <c r="F250" s="12" t="str">
        <f aca="false">IFERROR(INDEX(Colaboradores!$E:$E,MATCH(E250,Colaboradores!$A:$A,0)),"")</f>
        <v>JOSUE SANTOS</v>
      </c>
      <c r="G250" s="6" t="s">
        <v>549</v>
      </c>
      <c r="H250" s="12" t="str">
        <f aca="false">IFERROR(INDEX(Doc_Catalogo!$B:$B,MATCH(G250,Doc_Catalogo!$A:$A,0)),"")</f>
        <v>Certificado da NR18 — Colaborador</v>
      </c>
      <c r="I250" s="6" t="s">
        <v>1001</v>
      </c>
      <c r="J250" s="6"/>
    </row>
    <row r="251" customFormat="false" ht="15" hidden="false" customHeight="false" outlineLevel="0" collapsed="false">
      <c r="A251" s="6" t="s">
        <v>1256</v>
      </c>
      <c r="B251" s="6" t="s">
        <v>457</v>
      </c>
      <c r="C251" s="12" t="str">
        <f aca="false">IFERROR(INDEX(Obras!$B:$B,MATCH(B251,Obras!$A:$A,0)),"")</f>
        <v>Paraguaçu</v>
      </c>
      <c r="D251" s="6" t="s">
        <v>1009</v>
      </c>
      <c r="E251" s="6" t="s">
        <v>350</v>
      </c>
      <c r="F251" s="12" t="str">
        <f aca="false">IFERROR(INDEX(Colaboradores!$E:$E,MATCH(E251,Colaboradores!$A:$A,0)),"")</f>
        <v>JOSUE SANTOS</v>
      </c>
      <c r="G251" s="6" t="s">
        <v>561</v>
      </c>
      <c r="H251" s="12" t="str">
        <f aca="false">IFERROR(INDEX(Doc_Catalogo!$B:$B,MATCH(G251,Doc_Catalogo!$A:$A,0)),"")</f>
        <v>Certificado da NR34 — Colaborador</v>
      </c>
      <c r="I251" s="6" t="s">
        <v>1001</v>
      </c>
      <c r="J251" s="6"/>
    </row>
    <row r="252" customFormat="false" ht="15" hidden="false" customHeight="false" outlineLevel="0" collapsed="false">
      <c r="A252" s="6" t="s">
        <v>1257</v>
      </c>
      <c r="B252" s="6" t="s">
        <v>457</v>
      </c>
      <c r="C252" s="12" t="str">
        <f aca="false">IFERROR(INDEX(Obras!$B:$B,MATCH(B252,Obras!$A:$A,0)),"")</f>
        <v>Paraguaçu</v>
      </c>
      <c r="D252" s="6" t="s">
        <v>1009</v>
      </c>
      <c r="E252" s="6" t="s">
        <v>350</v>
      </c>
      <c r="F252" s="12" t="str">
        <f aca="false">IFERROR(INDEX(Colaboradores!$E:$E,MATCH(E252,Colaboradores!$A:$A,0)),"")</f>
        <v>JOSUE SANTOS</v>
      </c>
      <c r="G252" s="6" t="s">
        <v>565</v>
      </c>
      <c r="H252" s="12" t="str">
        <f aca="false">IFERROR(INDEX(Doc_Catalogo!$B:$B,MATCH(G252,Doc_Catalogo!$A:$A,0)),"")</f>
        <v>Certificado da NR35 — Colaborador</v>
      </c>
      <c r="I252" s="6" t="s">
        <v>1001</v>
      </c>
      <c r="J252" s="6"/>
    </row>
    <row r="253" customFormat="false" ht="15" hidden="false" customHeight="false" outlineLevel="0" collapsed="false">
      <c r="A253" s="6" t="s">
        <v>1258</v>
      </c>
      <c r="B253" s="6" t="s">
        <v>457</v>
      </c>
      <c r="C253" s="12" t="str">
        <f aca="false">IFERROR(INDEX(Obras!$B:$B,MATCH(B253,Obras!$A:$A,0)),"")</f>
        <v>Paraguaçu</v>
      </c>
      <c r="D253" s="6" t="s">
        <v>1009</v>
      </c>
      <c r="E253" s="6" t="s">
        <v>294</v>
      </c>
      <c r="F253" s="12" t="str">
        <f aca="false">IFERROR(INDEX(Colaboradores!$E:$E,MATCH(E253,Colaboradores!$A:$A,0)),"")</f>
        <v>RAFAEL PEREIRA DE LIMA</v>
      </c>
      <c r="G253" s="6" t="s">
        <v>577</v>
      </c>
      <c r="H253" s="12" t="str">
        <f aca="false">IFERROR(INDEX(Doc_Catalogo!$B:$B,MATCH(G253,Doc_Catalogo!$A:$A,0)),"")</f>
        <v>Contrato de Trabalho</v>
      </c>
      <c r="I253" s="6" t="s">
        <v>1001</v>
      </c>
      <c r="J253" s="6"/>
    </row>
    <row r="254" customFormat="false" ht="15" hidden="false" customHeight="false" outlineLevel="0" collapsed="false">
      <c r="A254" s="7" t="s">
        <v>1259</v>
      </c>
      <c r="B254" s="7" t="s">
        <v>457</v>
      </c>
      <c r="C254" s="16" t="str">
        <f aca="false">IFERROR(INDEX(Obras!$B:$B,MATCH(B254,Obras!$A:$A,0)),"")</f>
        <v>Paraguaçu</v>
      </c>
      <c r="D254" s="7" t="s">
        <v>1009</v>
      </c>
      <c r="E254" s="7" t="s">
        <v>294</v>
      </c>
      <c r="F254" s="16" t="str">
        <f aca="false">IFERROR(INDEX(Colaboradores!$E:$E,MATCH(E254,Colaboradores!$A:$A,0)),"")</f>
        <v>RAFAEL PEREIRA DE LIMA</v>
      </c>
      <c r="G254" s="7" t="s">
        <v>595</v>
      </c>
      <c r="H254" s="16" t="str">
        <f aca="false">IFERROR(INDEX(Doc_Catalogo!$B:$B,MATCH(G254,Doc_Catalogo!$A:$A,0)),"")</f>
        <v>Documento com foto (RG ou CNH apresentado)</v>
      </c>
      <c r="I254" s="7" t="s">
        <v>1017</v>
      </c>
      <c r="J254" s="7" t="s">
        <v>1018</v>
      </c>
    </row>
    <row r="255" customFormat="false" ht="15" hidden="false" customHeight="false" outlineLevel="0" collapsed="false">
      <c r="A255" s="6" t="s">
        <v>1260</v>
      </c>
      <c r="B255" s="6" t="s">
        <v>457</v>
      </c>
      <c r="C255" s="12" t="str">
        <f aca="false">IFERROR(INDEX(Obras!$B:$B,MATCH(B255,Obras!$A:$A,0)),"")</f>
        <v>Paraguaçu</v>
      </c>
      <c r="D255" s="6" t="s">
        <v>1009</v>
      </c>
      <c r="E255" s="6" t="s">
        <v>294</v>
      </c>
      <c r="F255" s="12" t="str">
        <f aca="false">IFERROR(INDEX(Colaboradores!$E:$E,MATCH(E255,Colaboradores!$A:$A,0)),"")</f>
        <v>RAFAEL PEREIRA DE LIMA</v>
      </c>
      <c r="G255" s="6" t="s">
        <v>501</v>
      </c>
      <c r="H255" s="12" t="str">
        <f aca="false">IFERROR(INDEX(Doc_Catalogo!$B:$B,MATCH(G255,Doc_Catalogo!$A:$A,0)),"")</f>
        <v>ASO</v>
      </c>
      <c r="I255" s="6" t="s">
        <v>1001</v>
      </c>
      <c r="J255" s="6"/>
    </row>
    <row r="256" customFormat="false" ht="15" hidden="false" customHeight="false" outlineLevel="0" collapsed="false">
      <c r="A256" s="6" t="s">
        <v>1261</v>
      </c>
      <c r="B256" s="6" t="s">
        <v>457</v>
      </c>
      <c r="C256" s="12" t="str">
        <f aca="false">IFERROR(INDEX(Obras!$B:$B,MATCH(B256,Obras!$A:$A,0)),"")</f>
        <v>Paraguaçu</v>
      </c>
      <c r="D256" s="6" t="s">
        <v>1009</v>
      </c>
      <c r="E256" s="6" t="s">
        <v>294</v>
      </c>
      <c r="F256" s="12" t="str">
        <f aca="false">IFERROR(INDEX(Colaboradores!$E:$E,MATCH(E256,Colaboradores!$A:$A,0)),"")</f>
        <v>RAFAEL PEREIRA DE LIMA</v>
      </c>
      <c r="G256" s="6" t="s">
        <v>588</v>
      </c>
      <c r="H256" s="12" t="str">
        <f aca="false">IFERROR(INDEX(Doc_Catalogo!$B:$B,MATCH(G256,Doc_Catalogo!$A:$A,0)),"")</f>
        <v>Ficha de EPI Atualizada</v>
      </c>
      <c r="I256" s="6" t="s">
        <v>1001</v>
      </c>
      <c r="J256" s="6"/>
    </row>
    <row r="257" customFormat="false" ht="15" hidden="false" customHeight="false" outlineLevel="0" collapsed="false">
      <c r="A257" s="6" t="s">
        <v>1262</v>
      </c>
      <c r="B257" s="6" t="s">
        <v>457</v>
      </c>
      <c r="C257" s="12" t="str">
        <f aca="false">IFERROR(INDEX(Obras!$B:$B,MATCH(B257,Obras!$A:$A,0)),"")</f>
        <v>Paraguaçu</v>
      </c>
      <c r="D257" s="6" t="s">
        <v>1009</v>
      </c>
      <c r="E257" s="6" t="s">
        <v>294</v>
      </c>
      <c r="F257" s="12" t="str">
        <f aca="false">IFERROR(INDEX(Colaboradores!$E:$E,MATCH(E257,Colaboradores!$A:$A,0)),"")</f>
        <v>RAFAEL PEREIRA DE LIMA</v>
      </c>
      <c r="G257" s="6" t="s">
        <v>586</v>
      </c>
      <c r="H257" s="12" t="str">
        <f aca="false">IFERROR(INDEX(Doc_Catalogo!$B:$B,MATCH(G257,Doc_Catalogo!$A:$A,0)),"")</f>
        <v>Ordem de Servico</v>
      </c>
      <c r="I257" s="6" t="s">
        <v>1001</v>
      </c>
      <c r="J257" s="6"/>
    </row>
    <row r="258" customFormat="false" ht="15" hidden="false" customHeight="false" outlineLevel="0" collapsed="false">
      <c r="A258" s="6" t="s">
        <v>1263</v>
      </c>
      <c r="B258" s="6" t="s">
        <v>457</v>
      </c>
      <c r="C258" s="12" t="str">
        <f aca="false">IFERROR(INDEX(Obras!$B:$B,MATCH(B258,Obras!$A:$A,0)),"")</f>
        <v>Paraguaçu</v>
      </c>
      <c r="D258" s="6" t="s">
        <v>1009</v>
      </c>
      <c r="E258" s="6" t="s">
        <v>294</v>
      </c>
      <c r="F258" s="12" t="str">
        <f aca="false">IFERROR(INDEX(Colaboradores!$E:$E,MATCH(E258,Colaboradores!$A:$A,0)),"")</f>
        <v>RAFAEL PEREIRA DE LIMA</v>
      </c>
      <c r="G258" s="6" t="s">
        <v>519</v>
      </c>
      <c r="H258" s="12" t="str">
        <f aca="false">IFERROR(INDEX(Doc_Catalogo!$B:$B,MATCH(G258,Doc_Catalogo!$A:$A,0)),"")</f>
        <v>Certificado da NR06 — Colaborador</v>
      </c>
      <c r="I258" s="6" t="s">
        <v>1001</v>
      </c>
      <c r="J258" s="6"/>
    </row>
    <row r="259" customFormat="false" ht="15" hidden="false" customHeight="false" outlineLevel="0" collapsed="false">
      <c r="A259" s="6" t="s">
        <v>1264</v>
      </c>
      <c r="B259" s="6" t="s">
        <v>457</v>
      </c>
      <c r="C259" s="12" t="str">
        <f aca="false">IFERROR(INDEX(Obras!$B:$B,MATCH(B259,Obras!$A:$A,0)),"")</f>
        <v>Paraguaçu</v>
      </c>
      <c r="D259" s="6" t="s">
        <v>1009</v>
      </c>
      <c r="E259" s="6" t="s">
        <v>294</v>
      </c>
      <c r="F259" s="12" t="str">
        <f aca="false">IFERROR(INDEX(Colaboradores!$E:$E,MATCH(E259,Colaboradores!$A:$A,0)),"")</f>
        <v>RAFAEL PEREIRA DE LIMA</v>
      </c>
      <c r="G259" s="6" t="s">
        <v>537</v>
      </c>
      <c r="H259" s="12" t="str">
        <f aca="false">IFERROR(INDEX(Doc_Catalogo!$B:$B,MATCH(G259,Doc_Catalogo!$A:$A,0)),"")</f>
        <v>Certificado da NR12 — Colaborador</v>
      </c>
      <c r="I259" s="6" t="s">
        <v>1001</v>
      </c>
      <c r="J259" s="6"/>
    </row>
    <row r="260" customFormat="false" ht="15" hidden="false" customHeight="false" outlineLevel="0" collapsed="false">
      <c r="A260" s="6" t="s">
        <v>1265</v>
      </c>
      <c r="B260" s="6" t="s">
        <v>457</v>
      </c>
      <c r="C260" s="12" t="str">
        <f aca="false">IFERROR(INDEX(Obras!$B:$B,MATCH(B260,Obras!$A:$A,0)),"")</f>
        <v>Paraguaçu</v>
      </c>
      <c r="D260" s="6" t="s">
        <v>1009</v>
      </c>
      <c r="E260" s="6" t="s">
        <v>294</v>
      </c>
      <c r="F260" s="12" t="str">
        <f aca="false">IFERROR(INDEX(Colaboradores!$E:$E,MATCH(E260,Colaboradores!$A:$A,0)),"")</f>
        <v>RAFAEL PEREIRA DE LIMA</v>
      </c>
      <c r="G260" s="6" t="s">
        <v>549</v>
      </c>
      <c r="H260" s="12" t="str">
        <f aca="false">IFERROR(INDEX(Doc_Catalogo!$B:$B,MATCH(G260,Doc_Catalogo!$A:$A,0)),"")</f>
        <v>Certificado da NR18 — Colaborador</v>
      </c>
      <c r="I260" s="6" t="s">
        <v>1001</v>
      </c>
      <c r="J260" s="6"/>
    </row>
    <row r="261" customFormat="false" ht="15" hidden="false" customHeight="false" outlineLevel="0" collapsed="false">
      <c r="A261" s="6" t="s">
        <v>1266</v>
      </c>
      <c r="B261" s="6" t="s">
        <v>457</v>
      </c>
      <c r="C261" s="12" t="str">
        <f aca="false">IFERROR(INDEX(Obras!$B:$B,MATCH(B261,Obras!$A:$A,0)),"")</f>
        <v>Paraguaçu</v>
      </c>
      <c r="D261" s="6" t="s">
        <v>1009</v>
      </c>
      <c r="E261" s="6" t="s">
        <v>294</v>
      </c>
      <c r="F261" s="12" t="str">
        <f aca="false">IFERROR(INDEX(Colaboradores!$E:$E,MATCH(E261,Colaboradores!$A:$A,0)),"")</f>
        <v>RAFAEL PEREIRA DE LIMA</v>
      </c>
      <c r="G261" s="6" t="s">
        <v>565</v>
      </c>
      <c r="H261" s="12" t="str">
        <f aca="false">IFERROR(INDEX(Doc_Catalogo!$B:$B,MATCH(G261,Doc_Catalogo!$A:$A,0)),"")</f>
        <v>Certificado da NR35 — Colaborador</v>
      </c>
      <c r="I261" s="6" t="s">
        <v>1001</v>
      </c>
      <c r="J261" s="6"/>
    </row>
    <row r="262" customFormat="false" ht="15" hidden="false" customHeight="false" outlineLevel="0" collapsed="false">
      <c r="A262" s="6" t="s">
        <v>1267</v>
      </c>
      <c r="B262" s="6" t="s">
        <v>457</v>
      </c>
      <c r="C262" s="12" t="str">
        <f aca="false">IFERROR(INDEX(Obras!$B:$B,MATCH(B262,Obras!$A:$A,0)),"")</f>
        <v>Paraguaçu</v>
      </c>
      <c r="D262" s="6" t="s">
        <v>1000</v>
      </c>
      <c r="E262" s="6" t="s">
        <v>185</v>
      </c>
      <c r="F262" s="12" t="str">
        <f aca="false">IFERROR(INDEX(Empresas!$D:$D,MATCH(E262,Empresas!$A:$A,0)),"")</f>
        <v>RN SCAL SERVICOS LTDA</v>
      </c>
      <c r="G262" s="6" t="s">
        <v>609</v>
      </c>
      <c r="H262" s="12" t="str">
        <f aca="false">IFERROR(INDEX(Doc_Catalogo!$B:$B,MATCH(G262,Doc_Catalogo!$A:$A,0)),"")</f>
        <v>PGR</v>
      </c>
      <c r="I262" s="6" t="s">
        <v>1001</v>
      </c>
      <c r="J262" s="6"/>
    </row>
    <row r="263" customFormat="false" ht="15" hidden="false" customHeight="false" outlineLevel="0" collapsed="false">
      <c r="A263" s="6" t="s">
        <v>1268</v>
      </c>
      <c r="B263" s="6" t="s">
        <v>460</v>
      </c>
      <c r="C263" s="12" t="str">
        <f aca="false">IFERROR(INDEX(Obras!$B:$B,MATCH(B263,Obras!$A:$A,0)),"")</f>
        <v>Vip Gales</v>
      </c>
      <c r="D263" s="6" t="s">
        <v>1000</v>
      </c>
      <c r="E263" s="6" t="s">
        <v>129</v>
      </c>
      <c r="F263" s="12" t="str">
        <f aca="false">IFERROR(INDEX(Empresas!$D:$D,MATCH(E263,Empresas!$A:$A,0)),"")</f>
        <v>LR GRUP ELEVADORES LTDA</v>
      </c>
      <c r="G263" s="6" t="s">
        <v>612</v>
      </c>
      <c r="H263" s="12" t="str">
        <f aca="false">IFERROR(INDEX(Doc_Catalogo!$B:$B,MATCH(G263,Doc_Catalogo!$A:$A,0)),"")</f>
        <v>PCMSO</v>
      </c>
      <c r="I263" s="6" t="s">
        <v>1001</v>
      </c>
      <c r="J263" s="6"/>
    </row>
    <row r="264" customFormat="false" ht="15" hidden="false" customHeight="false" outlineLevel="0" collapsed="false">
      <c r="A264" s="6" t="s">
        <v>1269</v>
      </c>
      <c r="B264" s="6" t="s">
        <v>460</v>
      </c>
      <c r="C264" s="12" t="str">
        <f aca="false">IFERROR(INDEX(Obras!$B:$B,MATCH(B264,Obras!$A:$A,0)),"")</f>
        <v>Vip Gales</v>
      </c>
      <c r="D264" s="6" t="s">
        <v>1000</v>
      </c>
      <c r="E264" s="6" t="s">
        <v>129</v>
      </c>
      <c r="F264" s="12" t="str">
        <f aca="false">IFERROR(INDEX(Empresas!$D:$D,MATCH(E264,Empresas!$A:$A,0)),"")</f>
        <v>LR GRUP ELEVADORES LTDA</v>
      </c>
      <c r="G264" s="6" t="s">
        <v>609</v>
      </c>
      <c r="H264" s="12" t="str">
        <f aca="false">IFERROR(INDEX(Doc_Catalogo!$B:$B,MATCH(G264,Doc_Catalogo!$A:$A,0)),"")</f>
        <v>PGR</v>
      </c>
      <c r="I264" s="6" t="s">
        <v>1001</v>
      </c>
      <c r="J264" s="6"/>
    </row>
    <row r="265" customFormat="false" ht="15" hidden="false" customHeight="false" outlineLevel="0" collapsed="false">
      <c r="A265" s="6" t="s">
        <v>1270</v>
      </c>
      <c r="B265" s="6" t="s">
        <v>460</v>
      </c>
      <c r="C265" s="12" t="str">
        <f aca="false">IFERROR(INDEX(Obras!$B:$B,MATCH(B265,Obras!$A:$A,0)),"")</f>
        <v>Vip Gales</v>
      </c>
      <c r="D265" s="6" t="s">
        <v>1009</v>
      </c>
      <c r="E265" s="6" t="s">
        <v>255</v>
      </c>
      <c r="F265" s="12" t="str">
        <f aca="false">IFERROR(INDEX(Colaboradores!$E:$E,MATCH(E265,Colaboradores!$A:$A,0)),"")</f>
        <v>RICARDO SEVERINO DA SILVA</v>
      </c>
      <c r="G265" s="6" t="s">
        <v>571</v>
      </c>
      <c r="H265" s="12" t="str">
        <f aca="false">IFERROR(INDEX(Doc_Catalogo!$B:$B,MATCH(G265,Doc_Catalogo!$A:$A,0)),"")</f>
        <v>Ficha de Registro</v>
      </c>
      <c r="I265" s="6" t="s">
        <v>1001</v>
      </c>
      <c r="J265" s="6"/>
    </row>
    <row r="266" customFormat="false" ht="15" hidden="false" customHeight="false" outlineLevel="0" collapsed="false">
      <c r="A266" s="6" t="s">
        <v>1271</v>
      </c>
      <c r="B266" s="6" t="s">
        <v>460</v>
      </c>
      <c r="C266" s="12" t="str">
        <f aca="false">IFERROR(INDEX(Obras!$B:$B,MATCH(B266,Obras!$A:$A,0)),"")</f>
        <v>Vip Gales</v>
      </c>
      <c r="D266" s="6" t="s">
        <v>1009</v>
      </c>
      <c r="E266" s="6" t="s">
        <v>255</v>
      </c>
      <c r="F266" s="12" t="str">
        <f aca="false">IFERROR(INDEX(Colaboradores!$E:$E,MATCH(E266,Colaboradores!$A:$A,0)),"")</f>
        <v>RICARDO SEVERINO DA SILVA</v>
      </c>
      <c r="G266" s="6" t="s">
        <v>577</v>
      </c>
      <c r="H266" s="12" t="str">
        <f aca="false">IFERROR(INDEX(Doc_Catalogo!$B:$B,MATCH(G266,Doc_Catalogo!$A:$A,0)),"")</f>
        <v>Contrato de Trabalho</v>
      </c>
      <c r="I266" s="6" t="s">
        <v>1001</v>
      </c>
      <c r="J266" s="6"/>
    </row>
    <row r="267" customFormat="false" ht="15" hidden="false" customHeight="false" outlineLevel="0" collapsed="false">
      <c r="A267" s="6" t="s">
        <v>1272</v>
      </c>
      <c r="B267" s="6" t="s">
        <v>460</v>
      </c>
      <c r="C267" s="12" t="str">
        <f aca="false">IFERROR(INDEX(Obras!$B:$B,MATCH(B267,Obras!$A:$A,0)),"")</f>
        <v>Vip Gales</v>
      </c>
      <c r="D267" s="6" t="s">
        <v>1009</v>
      </c>
      <c r="E267" s="6" t="s">
        <v>255</v>
      </c>
      <c r="F267" s="12" t="str">
        <f aca="false">IFERROR(INDEX(Colaboradores!$E:$E,MATCH(E267,Colaboradores!$A:$A,0)),"")</f>
        <v>RICARDO SEVERINO DA SILVA</v>
      </c>
      <c r="G267" s="6" t="s">
        <v>583</v>
      </c>
      <c r="H267" s="12" t="str">
        <f aca="false">IFERROR(INDEX(Doc_Catalogo!$B:$B,MATCH(G267,Doc_Catalogo!$A:$A,0)),"")</f>
        <v>CTPS Digital</v>
      </c>
      <c r="I267" s="6" t="s">
        <v>1001</v>
      </c>
      <c r="J267" s="6"/>
    </row>
    <row r="268" customFormat="false" ht="15" hidden="false" customHeight="false" outlineLevel="0" collapsed="false">
      <c r="A268" s="6" t="s">
        <v>1273</v>
      </c>
      <c r="B268" s="6" t="s">
        <v>460</v>
      </c>
      <c r="C268" s="12" t="str">
        <f aca="false">IFERROR(INDEX(Obras!$B:$B,MATCH(B268,Obras!$A:$A,0)),"")</f>
        <v>Vip Gales</v>
      </c>
      <c r="D268" s="6" t="s">
        <v>1009</v>
      </c>
      <c r="E268" s="6" t="s">
        <v>255</v>
      </c>
      <c r="F268" s="12" t="str">
        <f aca="false">IFERROR(INDEX(Colaboradores!$E:$E,MATCH(E268,Colaboradores!$A:$A,0)),"")</f>
        <v>RICARDO SEVERINO DA SILVA</v>
      </c>
      <c r="G268" s="6" t="s">
        <v>586</v>
      </c>
      <c r="H268" s="12" t="str">
        <f aca="false">IFERROR(INDEX(Doc_Catalogo!$B:$B,MATCH(G268,Doc_Catalogo!$A:$A,0)),"")</f>
        <v>Ordem de Servico</v>
      </c>
      <c r="I268" s="6" t="s">
        <v>1001</v>
      </c>
      <c r="J268" s="6"/>
    </row>
    <row r="269" customFormat="false" ht="15" hidden="false" customHeight="false" outlineLevel="0" collapsed="false">
      <c r="A269" s="6" t="s">
        <v>1274</v>
      </c>
      <c r="B269" s="6" t="s">
        <v>460</v>
      </c>
      <c r="C269" s="12" t="str">
        <f aca="false">IFERROR(INDEX(Obras!$B:$B,MATCH(B269,Obras!$A:$A,0)),"")</f>
        <v>Vip Gales</v>
      </c>
      <c r="D269" s="6" t="s">
        <v>1009</v>
      </c>
      <c r="E269" s="6" t="s">
        <v>255</v>
      </c>
      <c r="F269" s="12" t="str">
        <f aca="false">IFERROR(INDEX(Colaboradores!$E:$E,MATCH(E269,Colaboradores!$A:$A,0)),"")</f>
        <v>RICARDO SEVERINO DA SILVA</v>
      </c>
      <c r="G269" s="6" t="s">
        <v>501</v>
      </c>
      <c r="H269" s="12" t="str">
        <f aca="false">IFERROR(INDEX(Doc_Catalogo!$B:$B,MATCH(G269,Doc_Catalogo!$A:$A,0)),"")</f>
        <v>ASO</v>
      </c>
      <c r="I269" s="6" t="s">
        <v>1001</v>
      </c>
      <c r="J269" s="6"/>
    </row>
    <row r="270" customFormat="false" ht="15" hidden="false" customHeight="false" outlineLevel="0" collapsed="false">
      <c r="A270" s="6" t="s">
        <v>1275</v>
      </c>
      <c r="B270" s="6" t="s">
        <v>460</v>
      </c>
      <c r="C270" s="12" t="str">
        <f aca="false">IFERROR(INDEX(Obras!$B:$B,MATCH(B270,Obras!$A:$A,0)),"")</f>
        <v>Vip Gales</v>
      </c>
      <c r="D270" s="6" t="s">
        <v>1009</v>
      </c>
      <c r="E270" s="6" t="s">
        <v>255</v>
      </c>
      <c r="F270" s="12" t="str">
        <f aca="false">IFERROR(INDEX(Colaboradores!$E:$E,MATCH(E270,Colaboradores!$A:$A,0)),"")</f>
        <v>RICARDO SEVERINO DA SILVA</v>
      </c>
      <c r="G270" s="6" t="s">
        <v>588</v>
      </c>
      <c r="H270" s="12" t="str">
        <f aca="false">IFERROR(INDEX(Doc_Catalogo!$B:$B,MATCH(G270,Doc_Catalogo!$A:$A,0)),"")</f>
        <v>Ficha de EPI Atualizada</v>
      </c>
      <c r="I270" s="6" t="s">
        <v>1001</v>
      </c>
      <c r="J270" s="6"/>
    </row>
    <row r="271" customFormat="false" ht="15" hidden="false" customHeight="false" outlineLevel="0" collapsed="false">
      <c r="A271" s="6" t="s">
        <v>1276</v>
      </c>
      <c r="B271" s="6" t="s">
        <v>460</v>
      </c>
      <c r="C271" s="12" t="str">
        <f aca="false">IFERROR(INDEX(Obras!$B:$B,MATCH(B271,Obras!$A:$A,0)),"")</f>
        <v>Vip Gales</v>
      </c>
      <c r="D271" s="6" t="s">
        <v>1009</v>
      </c>
      <c r="E271" s="6" t="s">
        <v>255</v>
      </c>
      <c r="F271" s="12" t="str">
        <f aca="false">IFERROR(INDEX(Colaboradores!$E:$E,MATCH(E271,Colaboradores!$A:$A,0)),"")</f>
        <v>RICARDO SEVERINO DA SILVA</v>
      </c>
      <c r="G271" s="6" t="s">
        <v>519</v>
      </c>
      <c r="H271" s="12" t="str">
        <f aca="false">IFERROR(INDEX(Doc_Catalogo!$B:$B,MATCH(G271,Doc_Catalogo!$A:$A,0)),"")</f>
        <v>Certificado da NR06 — Colaborador</v>
      </c>
      <c r="I271" s="6" t="s">
        <v>1001</v>
      </c>
      <c r="J271" s="6"/>
    </row>
    <row r="272" customFormat="false" ht="15" hidden="false" customHeight="false" outlineLevel="0" collapsed="false">
      <c r="A272" s="6" t="s">
        <v>1277</v>
      </c>
      <c r="B272" s="6" t="s">
        <v>460</v>
      </c>
      <c r="C272" s="12" t="str">
        <f aca="false">IFERROR(INDEX(Obras!$B:$B,MATCH(B272,Obras!$A:$A,0)),"")</f>
        <v>Vip Gales</v>
      </c>
      <c r="D272" s="6" t="s">
        <v>1009</v>
      </c>
      <c r="E272" s="6" t="s">
        <v>255</v>
      </c>
      <c r="F272" s="12" t="str">
        <f aca="false">IFERROR(INDEX(Colaboradores!$E:$E,MATCH(E272,Colaboradores!$A:$A,0)),"")</f>
        <v>RICARDO SEVERINO DA SILVA</v>
      </c>
      <c r="G272" s="6" t="s">
        <v>524</v>
      </c>
      <c r="H272" s="12" t="str">
        <f aca="false">IFERROR(INDEX(Doc_Catalogo!$B:$B,MATCH(G272,Doc_Catalogo!$A:$A,0)),"")</f>
        <v>Certificado da NR10 — Colaborador</v>
      </c>
      <c r="I272" s="6" t="s">
        <v>1001</v>
      </c>
      <c r="J272" s="6"/>
    </row>
    <row r="273" customFormat="false" ht="15" hidden="false" customHeight="false" outlineLevel="0" collapsed="false">
      <c r="A273" s="6" t="s">
        <v>1278</v>
      </c>
      <c r="B273" s="6" t="s">
        <v>460</v>
      </c>
      <c r="C273" s="12" t="str">
        <f aca="false">IFERROR(INDEX(Obras!$B:$B,MATCH(B273,Obras!$A:$A,0)),"")</f>
        <v>Vip Gales</v>
      </c>
      <c r="D273" s="6" t="s">
        <v>1009</v>
      </c>
      <c r="E273" s="6" t="s">
        <v>255</v>
      </c>
      <c r="F273" s="12" t="str">
        <f aca="false">IFERROR(INDEX(Colaboradores!$E:$E,MATCH(E273,Colaboradores!$A:$A,0)),"")</f>
        <v>RICARDO SEVERINO DA SILVA</v>
      </c>
      <c r="G273" s="6" t="s">
        <v>537</v>
      </c>
      <c r="H273" s="12" t="str">
        <f aca="false">IFERROR(INDEX(Doc_Catalogo!$B:$B,MATCH(G273,Doc_Catalogo!$A:$A,0)),"")</f>
        <v>Certificado da NR12 — Colaborador</v>
      </c>
      <c r="I273" s="6" t="s">
        <v>1001</v>
      </c>
      <c r="J273" s="6"/>
    </row>
    <row r="274" customFormat="false" ht="15" hidden="false" customHeight="false" outlineLevel="0" collapsed="false">
      <c r="A274" s="6" t="s">
        <v>1279</v>
      </c>
      <c r="B274" s="6" t="s">
        <v>460</v>
      </c>
      <c r="C274" s="12" t="str">
        <f aca="false">IFERROR(INDEX(Obras!$B:$B,MATCH(B274,Obras!$A:$A,0)),"")</f>
        <v>Vip Gales</v>
      </c>
      <c r="D274" s="6" t="s">
        <v>1009</v>
      </c>
      <c r="E274" s="6" t="s">
        <v>255</v>
      </c>
      <c r="F274" s="12" t="str">
        <f aca="false">IFERROR(INDEX(Colaboradores!$E:$E,MATCH(E274,Colaboradores!$A:$A,0)),"")</f>
        <v>RICARDO SEVERINO DA SILVA</v>
      </c>
      <c r="G274" s="6" t="s">
        <v>549</v>
      </c>
      <c r="H274" s="12" t="str">
        <f aca="false">IFERROR(INDEX(Doc_Catalogo!$B:$B,MATCH(G274,Doc_Catalogo!$A:$A,0)),"")</f>
        <v>Certificado da NR18 — Colaborador</v>
      </c>
      <c r="I274" s="6" t="s">
        <v>1001</v>
      </c>
      <c r="J274" s="6"/>
    </row>
    <row r="275" customFormat="false" ht="15" hidden="false" customHeight="false" outlineLevel="0" collapsed="false">
      <c r="A275" s="6" t="s">
        <v>1280</v>
      </c>
      <c r="B275" s="6" t="s">
        <v>460</v>
      </c>
      <c r="C275" s="12" t="str">
        <f aca="false">IFERROR(INDEX(Obras!$B:$B,MATCH(B275,Obras!$A:$A,0)),"")</f>
        <v>Vip Gales</v>
      </c>
      <c r="D275" s="6" t="s">
        <v>1009</v>
      </c>
      <c r="E275" s="6" t="s">
        <v>255</v>
      </c>
      <c r="F275" s="12" t="str">
        <f aca="false">IFERROR(INDEX(Colaboradores!$E:$E,MATCH(E275,Colaboradores!$A:$A,0)),"")</f>
        <v>RICARDO SEVERINO DA SILVA</v>
      </c>
      <c r="G275" s="6" t="s">
        <v>565</v>
      </c>
      <c r="H275" s="12" t="str">
        <f aca="false">IFERROR(INDEX(Doc_Catalogo!$B:$B,MATCH(G275,Doc_Catalogo!$A:$A,0)),"")</f>
        <v>Certificado da NR35 — Colaborador</v>
      </c>
      <c r="I275" s="6" t="s">
        <v>1001</v>
      </c>
      <c r="J275" s="6"/>
    </row>
  </sheetData>
  <dataValidations count="2">
    <dataValidation allowBlank="true" errorStyle="stop" operator="between" showDropDown="false" showErrorMessage="false" showInputMessage="false" sqref="D2:D325" type="list">
      <formula1>"Empresa,Colaborador"</formula1>
      <formula2>0</formula2>
    </dataValidation>
    <dataValidation allowBlank="true" errorStyle="stop" operator="between" showDropDown="false" showErrorMessage="false" showInputMessage="false" sqref="I2:I325" type="list">
      <formula1>"solicitado,enviado,aprovado_cliente,rejeitado,pendente,nao_aplicavel"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40"/>
    <col collapsed="false" customWidth="true" hidden="false" outlineLevel="0" max="8" min="8" style="0" width="16"/>
    <col collapsed="false" customWidth="true" hidden="false" outlineLevel="0" max="9" min="9" style="0" width="13"/>
    <col collapsed="false" customWidth="true" hidden="false" outlineLevel="0" max="10" min="10" style="0" width="14"/>
    <col collapsed="false" customWidth="true" hidden="false" outlineLevel="0" max="11" min="11" style="0" width="55"/>
  </cols>
  <sheetData>
    <row r="1" customFormat="false" ht="30" hidden="false" customHeight="true" outlineLevel="0" collapsed="false">
      <c r="A1" s="5" t="s">
        <v>481</v>
      </c>
      <c r="B1" s="5" t="s">
        <v>441</v>
      </c>
      <c r="C1" s="5" t="s">
        <v>467</v>
      </c>
      <c r="D1" s="5" t="s">
        <v>20</v>
      </c>
      <c r="E1" s="5" t="s">
        <v>211</v>
      </c>
      <c r="F1" s="5" t="s">
        <v>486</v>
      </c>
      <c r="G1" s="5" t="s">
        <v>681</v>
      </c>
      <c r="H1" s="5" t="s">
        <v>1281</v>
      </c>
      <c r="I1" s="5" t="s">
        <v>1282</v>
      </c>
      <c r="J1" s="5" t="s">
        <v>31</v>
      </c>
      <c r="K1" s="5" t="s">
        <v>32</v>
      </c>
    </row>
    <row r="2" customFormat="false" ht="15" hidden="false" customHeight="false" outlineLevel="0" collapsed="false">
      <c r="A2" s="14" t="s">
        <v>1283</v>
      </c>
      <c r="B2" s="14" t="s">
        <v>454</v>
      </c>
      <c r="C2" s="15" t="str">
        <f aca="false">IFERROR(INDEX(Obras!$B:$B,MATCH(B2,Obras!$A:$A,0)),"")</f>
        <v>Hospital SC</v>
      </c>
      <c r="D2" s="14" t="s">
        <v>77</v>
      </c>
      <c r="E2" s="14"/>
      <c r="F2" s="14" t="s">
        <v>661</v>
      </c>
      <c r="G2" s="15" t="str">
        <f aca="false">IFERROR(INDEX(Doc_Catalogo!$B:$B,MATCH(F2,Doc_Catalogo!$A:$A,0)),"")</f>
        <v>Comprovante de pagamento de FGTS</v>
      </c>
      <c r="H2" s="14" t="s">
        <v>1284</v>
      </c>
      <c r="I2" s="18"/>
      <c r="J2" s="14" t="s">
        <v>1017</v>
      </c>
      <c r="K2" s="14" t="s">
        <v>1285</v>
      </c>
    </row>
  </sheetData>
  <dataValidations count="2">
    <dataValidation allowBlank="true" errorStyle="stop" operator="between" showDropDown="false" showErrorMessage="false" showInputMessage="false" sqref="B2:B400" type="list">
      <formula1>"OBR-001,OBR-002,OBR-003,OBR-004,OBR-005,OBR-006"</formula1>
      <formula2>0</formula2>
    </dataValidation>
    <dataValidation allowBlank="true" errorStyle="stop" operator="between" showDropDown="false" showErrorMessage="false" showInputMessage="false" sqref="J2:J400" type="list">
      <formula1>"pendente,enviado,aprovado"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2026-08-25T17:13:34Z</dcterms:created>
  <dc:creator>openpyxl</dc:creator>
  <dc:description/>
  <dc:language>en-US</dc:language>
  <cp:lastModifiedBy/>
  <dcterms:modified xsi:type="dcterms:W3CDTF">2026-08-25T17:13:34Z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